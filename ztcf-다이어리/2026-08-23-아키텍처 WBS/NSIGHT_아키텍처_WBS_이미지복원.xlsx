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g.JWS\Downloads\"/>
    </mc:Choice>
  </mc:AlternateContent>
  <bookViews>
    <workbookView xWindow="0" yWindow="0" windowWidth="28800" windowHeight="11880"/>
  </bookViews>
  <sheets>
    <sheet name="WBS" sheetId="1" r:id="rId1"/>
    <sheet name="Sheet1" sheetId="4" r:id="rId2"/>
    <sheet name="요약" sheetId="2" r:id="rId3"/>
    <sheet name="원본이미지" sheetId="3" r:id="rId4"/>
  </sheets>
  <calcPr calcId="162913"/>
</workbook>
</file>

<file path=xl/calcChain.xml><?xml version="1.0" encoding="utf-8"?>
<calcChain xmlns="http://schemas.openxmlformats.org/spreadsheetml/2006/main">
  <c r="B14" i="2" l="1"/>
  <c r="B13" i="2"/>
  <c r="B12" i="2"/>
  <c r="B11" i="2"/>
  <c r="D7" i="2"/>
  <c r="D6" i="2"/>
  <c r="D5" i="2"/>
  <c r="D4" i="2"/>
</calcChain>
</file>

<file path=xl/sharedStrings.xml><?xml version="1.0" encoding="utf-8"?>
<sst xmlns="http://schemas.openxmlformats.org/spreadsheetml/2006/main" count="1046" uniqueCount="507">
  <si>
    <t>경로</t>
  </si>
  <si>
    <t>ID</t>
  </si>
  <si>
    <t>KEY</t>
  </si>
  <si>
    <t>TASK명</t>
  </si>
  <si>
    <t>계획시작일</t>
  </si>
  <si>
    <t>계획종료일</t>
  </si>
  <si>
    <t>표준산출물명</t>
  </si>
  <si>
    <t>S</t>
  </si>
  <si>
    <t>16. 아키텍처 아키텍처</t>
  </si>
  <si>
    <t>1</t>
  </si>
  <si>
    <t>[사전분석]</t>
  </si>
  <si>
    <t>1.1</t>
  </si>
  <si>
    <t>착수준비</t>
  </si>
  <si>
    <t>1.1.1</t>
  </si>
  <si>
    <t>환경준비</t>
  </si>
  <si>
    <t>1.1.2</t>
  </si>
  <si>
    <t>아키텍처 일정 준비 점검 및 조율</t>
  </si>
  <si>
    <t>1.2</t>
  </si>
  <si>
    <t>현행 시스템 분석</t>
  </si>
  <si>
    <t>1.2.1</t>
  </si>
  <si>
    <t>선행 ISP 및 농협은행 현황 자료 검토 분석</t>
  </si>
  <si>
    <t>1.2.2</t>
  </si>
  <si>
    <t>정보계 어플리케이션 도메인 분석</t>
  </si>
  <si>
    <t>1.2.3</t>
  </si>
  <si>
    <t>AS-IS 아키텍처 프로세스 및 구조 분석</t>
  </si>
  <si>
    <t>1.2.4</t>
  </si>
  <si>
    <t>AS-IS 어플리케이션 분류체계 분석</t>
  </si>
  <si>
    <t>1.2.5</t>
  </si>
  <si>
    <t>아키텍처 현황 정리</t>
  </si>
  <si>
    <t>1.2.5.1</t>
  </si>
  <si>
    <t>AS-IS 아키텍처 구조 및 프로세스 파악 정리</t>
  </si>
  <si>
    <t>현행 시스템 분석서</t>
  </si>
  <si>
    <t>1.3</t>
  </si>
  <si>
    <t>아키텍처 요구사항정의</t>
  </si>
  <si>
    <t>1.3.1</t>
  </si>
  <si>
    <t>아키텍처 요구사항 정의</t>
  </si>
  <si>
    <t>요구사항 정의서</t>
  </si>
  <si>
    <t>1.4</t>
  </si>
  <si>
    <t>아키텍처 방향성 분석</t>
  </si>
  <si>
    <t>1.4.1</t>
  </si>
  <si>
    <t>아키텍처 설계관점 방향성 정의</t>
  </si>
  <si>
    <t>1.4.1.1</t>
  </si>
  <si>
    <t>전체 시스템 아키텍처 정의</t>
  </si>
  <si>
    <t>아키텍처 정의서</t>
  </si>
  <si>
    <t>1.4.1.2</t>
  </si>
  <si>
    <t>대내/외 시스템 연계 구조 정의</t>
  </si>
  <si>
    <t>1.4.1.3</t>
  </si>
  <si>
    <t>업무/어플리케이션 도메인 구조 검토</t>
  </si>
  <si>
    <t>1.4.2</t>
  </si>
  <si>
    <t>현행 데이터 표준/모델 분석</t>
  </si>
  <si>
    <t>1.4.3</t>
  </si>
  <si>
    <t>표준코드 및 설계 표준 항목 도출</t>
  </si>
  <si>
    <t>1.4.4</t>
  </si>
  <si>
    <t>내부검토 및 보완</t>
  </si>
  <si>
    <t>1.5</t>
  </si>
  <si>
    <t>아키텍처 설계 및 가이드</t>
  </si>
  <si>
    <t>1.5.1</t>
  </si>
  <si>
    <t>시스템 구성을 위한 상위 어플리케이션 분류 및 체계 정의</t>
  </si>
  <si>
    <t>1.5.1.1</t>
  </si>
  <si>
    <t>어플리케이션 코드 체계 현황 조사</t>
  </si>
  <si>
    <t>1.5.1.2</t>
  </si>
  <si>
    <t>어플리케이션 코드 체계 정의</t>
  </si>
  <si>
    <t>어플리케이션코드정의서</t>
  </si>
  <si>
    <t>1.5.1.3</t>
  </si>
  <si>
    <t>어플리케이션 코드 관리 가이드 수립 및 배포</t>
  </si>
  <si>
    <t>1.5.2</t>
  </si>
  <si>
    <t>논리 기술 아키텍처 정의</t>
  </si>
  <si>
    <t>1.5.2.1</t>
  </si>
  <si>
    <t>전사 업무 영역 및 기능 체계 검토</t>
  </si>
  <si>
    <t>1.5.2.2</t>
  </si>
  <si>
    <t>시스템 구성 정의</t>
  </si>
  <si>
    <t>1.5.2.3</t>
  </si>
  <si>
    <t>시스템 기술구성요소 정의</t>
  </si>
  <si>
    <t>1.5.2.4</t>
  </si>
  <si>
    <t>논리 인프라 구성 검토</t>
  </si>
  <si>
    <t>1.5.3</t>
  </si>
  <si>
    <t>물리 인프라 아키텍처 정의</t>
  </si>
  <si>
    <t>1.5.3.1</t>
  </si>
  <si>
    <t>인프라 하드웨어 구성 식별</t>
  </si>
  <si>
    <t>1.5.3.2</t>
  </si>
  <si>
    <t>인프라 소프트웨어 구성 식별</t>
  </si>
  <si>
    <t>1.5.4</t>
  </si>
  <si>
    <t>논리 기술 인터페이스 아키텍처 정의</t>
  </si>
  <si>
    <t>1.5.4.1</t>
  </si>
  <si>
    <t>정보 기술 인터페이스 표준 체계</t>
  </si>
  <si>
    <t>1.5.4.2</t>
  </si>
  <si>
    <t>시스템 컨텍스트 영역 및 연계 정의</t>
  </si>
  <si>
    <t>1.5.5</t>
  </si>
  <si>
    <t>표준코드 및 설계 표준 정의</t>
  </si>
  <si>
    <t>1.5.5.1</t>
  </si>
  <si>
    <t>어플리케이션 명명규칙 정의</t>
  </si>
  <si>
    <t>개발 표준 정의서</t>
  </si>
  <si>
    <t>1.5.5.2</t>
  </si>
  <si>
    <t>인프라 명명규칙 정의</t>
  </si>
  <si>
    <t>1.5.6</t>
  </si>
  <si>
    <t>데이터 아키텍처 정의</t>
  </si>
  <si>
    <t>1.5.6.1</t>
  </si>
  <si>
    <t>데이터 표준 정비 방향 도출</t>
  </si>
  <si>
    <t>데이터정비방안</t>
  </si>
  <si>
    <t>1.5.6.2</t>
  </si>
  <si>
    <t>데이터 표준 가이드 작성</t>
  </si>
  <si>
    <t>데이터표준가이드</t>
  </si>
  <si>
    <t>1.5.6.3</t>
  </si>
  <si>
    <t>데이터 모델링 가이드 작성</t>
  </si>
  <si>
    <t>데이터모델링가이드</t>
  </si>
  <si>
    <t>1.5.6.4</t>
  </si>
  <si>
    <t>TO-BE 데이터 모델 개선 가이드 작성</t>
  </si>
  <si>
    <t>ToBe데이터모델개선방안</t>
  </si>
  <si>
    <t>1.6</t>
  </si>
  <si>
    <t>2</t>
  </si>
  <si>
    <t>[분석/설계] 아키텍처 확립</t>
  </si>
  <si>
    <t>2.1</t>
  </si>
  <si>
    <t>방향성 확립</t>
  </si>
  <si>
    <t>2.1.1</t>
  </si>
  <si>
    <t>어플리케이션 분류 및 체계 검토</t>
  </si>
  <si>
    <t>2.1.2</t>
  </si>
  <si>
    <t>현행 시스템 주요 이슈 검토</t>
  </si>
  <si>
    <t>2.1.3</t>
  </si>
  <si>
    <t>아키텍처 요구사항 검토</t>
  </si>
  <si>
    <t>2.1.4</t>
  </si>
  <si>
    <t>목표 아키텍처 구조 정의 검토</t>
  </si>
  <si>
    <t>2.1.5</t>
  </si>
  <si>
    <t>논리 기술 아키텍처 정의 검토</t>
  </si>
  <si>
    <t>2.1.6</t>
  </si>
  <si>
    <t>물리 인프라 아키텍처 정의 검토</t>
  </si>
  <si>
    <t>2.1.7</t>
  </si>
  <si>
    <t>표준코드 및 설계 표준 정의 검토</t>
  </si>
  <si>
    <t>2.2</t>
  </si>
  <si>
    <t>2.2.1</t>
  </si>
  <si>
    <t>어플리케이션 분류 및 체계 정의(고도화)</t>
  </si>
  <si>
    <t>2.2.1.1</t>
  </si>
  <si>
    <t>어플리케이션 코드 작성</t>
  </si>
  <si>
    <t>2.2.1.2</t>
  </si>
  <si>
    <t>어플리케이션 코드 업무 가이드 및 배포</t>
  </si>
  <si>
    <t>2.2.2</t>
  </si>
  <si>
    <t>논리 기술 아키텍처 정의(고도화)</t>
  </si>
  <si>
    <t>2.2.2.1</t>
  </si>
  <si>
    <t>시스템 도메인 그룹 정의</t>
  </si>
  <si>
    <t>2.2.2.2</t>
  </si>
  <si>
    <t>어플리케이션 구성 체계 정의</t>
  </si>
  <si>
    <t>2.2.2.3</t>
  </si>
  <si>
    <t>시스템 도메인 노드 배치</t>
  </si>
  <si>
    <t>2.2.2.4</t>
  </si>
  <si>
    <t>노드 기술 컴포넌트 정의</t>
  </si>
  <si>
    <t>2.2.2.5</t>
  </si>
  <si>
    <t>논리 노드 식별</t>
  </si>
  <si>
    <t>2.2.2.6</t>
  </si>
  <si>
    <t>논리 하드웨어 식별</t>
  </si>
  <si>
    <t>2.2.3</t>
  </si>
  <si>
    <t>물리 인프라 아키텍처 정의(고도화)</t>
  </si>
  <si>
    <t>2.2.3.1</t>
  </si>
  <si>
    <t>2.2.3.2</t>
  </si>
  <si>
    <t>2.2.4</t>
  </si>
  <si>
    <t>논리 기술 인터페이스 아키텍처 정의(고도화)</t>
  </si>
  <si>
    <t>2.2.4.1</t>
  </si>
  <si>
    <t>2.2.4.2</t>
  </si>
  <si>
    <t>시스템 컨텍스트 구조 정의</t>
  </si>
  <si>
    <t>2.2.5</t>
  </si>
  <si>
    <t>요소 기술 처리구조 검토 및 아키텍처 정의서 반영</t>
  </si>
  <si>
    <t>2.2.5.1</t>
  </si>
  <si>
    <t>정보단말 처리구조 검토 및 아키텍처 정의서 반영</t>
  </si>
  <si>
    <t>2.2.5.2</t>
  </si>
  <si>
    <t>ETL 데이터 처리구조 검토 및 아키텍처 정의서 반영</t>
  </si>
  <si>
    <t>2.2.5.3</t>
  </si>
  <si>
    <t>프레임워크 온라인/배치 처리구조 검토 및 아키텍처 정의서 반영</t>
  </si>
  <si>
    <t>2.2.5.4</t>
  </si>
  <si>
    <t>배치자동화 처리구조 검토 및 아키텍처 정의서 반영</t>
  </si>
  <si>
    <t>2.2.5.5</t>
  </si>
  <si>
    <t>FOS 처리구조 검토 및 아키텍처 정의서 반영</t>
  </si>
  <si>
    <t>2.2.6</t>
  </si>
  <si>
    <t>요소 기술 런타임 아키텍처 정의</t>
  </si>
  <si>
    <t>2.2.6.1</t>
  </si>
  <si>
    <t>단말거래 런타임 아키텍처 검토 및 아키텍처 정의</t>
  </si>
  <si>
    <t>2.2.6.2</t>
  </si>
  <si>
    <t>싱글뷰/미니싱글뷰 런타임 아키텍처 검토 및 아키텍처 정의</t>
  </si>
  <si>
    <t>2.2.6.3</t>
  </si>
  <si>
    <t>UMS 거래 연계 런타임 아키텍처 검토 및 아키텍처 정의</t>
  </si>
  <si>
    <t>2.2.6.4</t>
  </si>
  <si>
    <t>실시간 고객 오퍼링 런타임 아키텍처 검토 및 아키텍처 정의</t>
  </si>
  <si>
    <t>2.2.7</t>
  </si>
  <si>
    <t>개발 표준 및 가이드</t>
  </si>
  <si>
    <t>2.2.7.1</t>
  </si>
  <si>
    <t>명명규칙 설계</t>
  </si>
  <si>
    <t>2.2.7.1.1</t>
  </si>
  <si>
    <t>어플리케이션 컴포넌트 명명규칙</t>
  </si>
  <si>
    <t>2.2.7.1.2</t>
  </si>
  <si>
    <t>데이터 명명규칙 파악지원</t>
  </si>
  <si>
    <t>2.2.7.1.3</t>
  </si>
  <si>
    <t>UI자원 명명규칙 파악지원</t>
  </si>
  <si>
    <t>2.2.7.1.4</t>
  </si>
  <si>
    <t>인터페이스 명명규칙 파악지원</t>
  </si>
  <si>
    <t>2.2.7.1.5</t>
  </si>
  <si>
    <t>파일 명명규칙 파악지원</t>
  </si>
  <si>
    <t>2.2.7.1.6</t>
  </si>
  <si>
    <t>명명규칙 설계가이드 작성</t>
  </si>
  <si>
    <t>2.2.7.2</t>
  </si>
  <si>
    <t>전문표준화 설계</t>
  </si>
  <si>
    <t>2.2.7.2.1</t>
  </si>
  <si>
    <t>AS-IS 전문구조파악</t>
  </si>
  <si>
    <t>2.2.7.2.2</t>
  </si>
  <si>
    <t>선도개발임시통합전문구성</t>
  </si>
  <si>
    <t>2.2.7.2.3</t>
  </si>
  <si>
    <t>정보계표준전문레이아웃 설계서 작성</t>
  </si>
  <si>
    <t>2.2.7.3</t>
  </si>
  <si>
    <t>설계 개발 가이드</t>
  </si>
  <si>
    <t>2.2.7.3.1</t>
  </si>
  <si>
    <t>응용 설계를 위한 어플리케이션 아키텍처 가이드</t>
  </si>
  <si>
    <t>2.2.7.3.2</t>
  </si>
  <si>
    <t>응용 설계를 위한 개발표준 가이드 검토</t>
  </si>
  <si>
    <t>2.2.7.3.3</t>
  </si>
  <si>
    <t>응용 설계를 위한 UI 가이드 검토</t>
  </si>
  <si>
    <t>2.2.7.3.4</t>
  </si>
  <si>
    <t>응용 설계를 위한 프레임워크 가이드 검토</t>
  </si>
  <si>
    <t>2.2.7.3.5</t>
  </si>
  <si>
    <t>응용 설계를 위한 보고서 가이드 검토</t>
  </si>
  <si>
    <t>2.2.7.3.6</t>
  </si>
  <si>
    <t>응용 설계를 위한 인터페이스 가이드 검토</t>
  </si>
  <si>
    <t>2.2.7.4</t>
  </si>
  <si>
    <t>툴설치 및 사용자 가이드지원 및 검토</t>
  </si>
  <si>
    <t>2.2.7.4.1</t>
  </si>
  <si>
    <t>메타시스템 사용자 가이드 검토</t>
  </si>
  <si>
    <t>2.2.7.4.2</t>
  </si>
  <si>
    <t>테스트툴 사용자 가이드 지원 및 검토</t>
  </si>
  <si>
    <t>2.2.7.4.3</t>
  </si>
  <si>
    <t>프레임워크 개발툴 설치가이드 지원 및 검토</t>
  </si>
  <si>
    <t>2.2.7.4.4</t>
  </si>
  <si>
    <t>UI개발툴 설치가이드 지원 및 검토</t>
  </si>
  <si>
    <t>2.2.7.4.5</t>
  </si>
  <si>
    <t>형상관리툴 설치가이드 지원 및 검토</t>
  </si>
  <si>
    <t>2.3</t>
  </si>
  <si>
    <t>데이터 모델링 교육 및 모델 Inspection</t>
  </si>
  <si>
    <t>2.3.1</t>
  </si>
  <si>
    <t>데이터 모델링 교육</t>
  </si>
  <si>
    <t>2.3.2</t>
  </si>
  <si>
    <t>논리 데이터 모델 Inspection</t>
  </si>
  <si>
    <t>2.3.3</t>
  </si>
  <si>
    <t>물리 데이터 모델 Inspection</t>
  </si>
  <si>
    <t>2.4</t>
  </si>
  <si>
    <t>IT메타 테이블 신청 지원</t>
  </si>
  <si>
    <t>2.4.1</t>
  </si>
  <si>
    <t>데이터플랫폼 IT메타 테이블 신청 지원</t>
  </si>
  <si>
    <t>2.4.2</t>
  </si>
  <si>
    <t>BI포탈 IT메타 테이블 신청 지원</t>
  </si>
  <si>
    <t>2.4.3</t>
  </si>
  <si>
    <t>마케팅플랫폼 IT메타 테이블 신청 지원</t>
  </si>
  <si>
    <t>2.5</t>
  </si>
  <si>
    <t>형상배포 아키텍처 가이드</t>
  </si>
  <si>
    <t>2.5.1</t>
  </si>
  <si>
    <t>형상배포 선도 아키텍처 정의</t>
  </si>
  <si>
    <t>2.5.2</t>
  </si>
  <si>
    <t>형상배포 개발 아키텍처 정의</t>
  </si>
  <si>
    <t>2.5.3</t>
  </si>
  <si>
    <t>형상배포 선도 가이드 작성</t>
  </si>
  <si>
    <t>2.5.4</t>
  </si>
  <si>
    <t>형상배포 개발 가이드 작성</t>
  </si>
  <si>
    <t>2.6</t>
  </si>
  <si>
    <t>개발인프라 환경구축</t>
  </si>
  <si>
    <t>2.6.1</t>
  </si>
  <si>
    <t>선도개발환경 구성 계획 수립</t>
  </si>
  <si>
    <t>2.6.2</t>
  </si>
  <si>
    <t>선도개발환경 구성 SR요청</t>
  </si>
  <si>
    <t>2.6.3</t>
  </si>
  <si>
    <t>선도개발환경 구축</t>
  </si>
  <si>
    <t>2.6.4</t>
  </si>
  <si>
    <t>선도개발환경 솔루션 설치</t>
  </si>
  <si>
    <t>2.6.5</t>
  </si>
  <si>
    <t>선도개발환경 구성 점검</t>
  </si>
  <si>
    <t>2.6.6</t>
  </si>
  <si>
    <t>개발환경 구성 계획 수립</t>
  </si>
  <si>
    <t>2.6.7</t>
  </si>
  <si>
    <t>개발환경 구성 SR요청</t>
  </si>
  <si>
    <t>2.6.8</t>
  </si>
  <si>
    <t>개발환경 구축</t>
  </si>
  <si>
    <t>2.6.9</t>
  </si>
  <si>
    <t>개발환경 솔루션 설치</t>
  </si>
  <si>
    <t>2.6.10</t>
  </si>
  <si>
    <t>개발환경 구성 점검</t>
  </si>
  <si>
    <t>2.7</t>
  </si>
  <si>
    <t>개발 RDW/ADW, ETL, CDC(sw)구축</t>
  </si>
  <si>
    <t>2.7.1</t>
  </si>
  <si>
    <t>개발 RDW/ADW, ETL, CDC(sw) 계획 수립</t>
  </si>
  <si>
    <t>2.7.2</t>
  </si>
  <si>
    <t>개발 RDW/ADW, ETL, CDC(sw) SR 요청</t>
  </si>
  <si>
    <t>2.7.3</t>
  </si>
  <si>
    <t>개발 RDW/ADW, ETL, CDC(sw) 환경구축</t>
  </si>
  <si>
    <t>2.7.4</t>
  </si>
  <si>
    <t>개발 RDW/ADW, ETL, CDC(sw) 솔루션 설치</t>
  </si>
  <si>
    <t>2.7.5</t>
  </si>
  <si>
    <t>개발 RDW/ADW, ETL, CDC(sw) 구성점검</t>
  </si>
  <si>
    <t>2.8</t>
  </si>
  <si>
    <t>아키텍처 교육</t>
  </si>
  <si>
    <t>2.8.1</t>
  </si>
  <si>
    <t>아키텍처 개발자 교육 1차</t>
  </si>
  <si>
    <t>2.8.2</t>
  </si>
  <si>
    <t>아키텍처 개발자 교육 2차</t>
  </si>
  <si>
    <t>2.8.3</t>
  </si>
  <si>
    <t>솔루션 개발자 교육 1차</t>
  </si>
  <si>
    <t>2.8.4</t>
  </si>
  <si>
    <t>솔루션 개발자 교육 2차</t>
  </si>
  <si>
    <t>2.9</t>
  </si>
  <si>
    <t>단계말 검토 및 감리</t>
  </si>
  <si>
    <t>2.9.1</t>
  </si>
  <si>
    <t>동료검토</t>
  </si>
  <si>
    <t>동료검토결과서</t>
  </si>
  <si>
    <t>2.9.2</t>
  </si>
  <si>
    <t>요구사항추적</t>
  </si>
  <si>
    <t>요구사항추적표</t>
  </si>
  <si>
    <t>2.9.3</t>
  </si>
  <si>
    <t>단계말 품질검토 및 시정조치</t>
  </si>
  <si>
    <t>2.9.4</t>
  </si>
  <si>
    <t>단계 감리수검</t>
  </si>
  <si>
    <t>2.9.5</t>
  </si>
  <si>
    <t>PMO검토</t>
  </si>
  <si>
    <t>2.9.6</t>
  </si>
  <si>
    <t>고객검토</t>
  </si>
  <si>
    <t>3</t>
  </si>
  <si>
    <t>[구현/테스트] 아키텍처 평가 고도화 &amp; 아키텍처 준수 모니터링</t>
  </si>
  <si>
    <t>3.1</t>
  </si>
  <si>
    <t>아키텍처 평가 및 고도화</t>
  </si>
  <si>
    <t>3.1.1</t>
  </si>
  <si>
    <t>구현단계 이슈 Follow Up 및 지원</t>
  </si>
  <si>
    <t>3.1.2</t>
  </si>
  <si>
    <t>테스트단계 이슈 Follow Up 및 지원</t>
  </si>
  <si>
    <t>3.2</t>
  </si>
  <si>
    <t>아키텍처 개발자 지원</t>
  </si>
  <si>
    <t>3.2.1</t>
  </si>
  <si>
    <t>구현단계 형상관리 지원</t>
  </si>
  <si>
    <t>3.2.2</t>
  </si>
  <si>
    <t>테스트단계 형상관리 지원</t>
  </si>
  <si>
    <t>3.2.3</t>
  </si>
  <si>
    <t>구현단계 인증관리 지원</t>
  </si>
  <si>
    <t>3.2.4</t>
  </si>
  <si>
    <t>테스트단계 인증관리 지원</t>
  </si>
  <si>
    <t>3.2.5</t>
  </si>
  <si>
    <t>구현단계 배치자동화 관리 지원</t>
  </si>
  <si>
    <t>3.2.6</t>
  </si>
  <si>
    <t>배치단계 배치자동화 관리 지원</t>
  </si>
  <si>
    <t>3.3</t>
  </si>
  <si>
    <t>데이터이행 인프라 환경구축</t>
  </si>
  <si>
    <t>3.3.1</t>
  </si>
  <si>
    <t>데이터이행 서버 구성 계획 수립</t>
  </si>
  <si>
    <t>3.3.2</t>
  </si>
  <si>
    <t>데이터이행 서버 구성 SR요청</t>
  </si>
  <si>
    <t>3.3.3</t>
  </si>
  <si>
    <t>데이터이행 서버 환경 구축</t>
  </si>
  <si>
    <t>3.3.4</t>
  </si>
  <si>
    <t>데이터이행 솔루션 설치</t>
  </si>
  <si>
    <t>3.3.5</t>
  </si>
  <si>
    <t>데이터이행 서버 구성 환경 점검</t>
  </si>
  <si>
    <t>3.4</t>
  </si>
  <si>
    <t>운영인프라 환경구축</t>
  </si>
  <si>
    <t>3.4.1</t>
  </si>
  <si>
    <t>운영서버 구성 계획 수립</t>
  </si>
  <si>
    <t>3.4.2</t>
  </si>
  <si>
    <t>운영서버 구성 SR요청</t>
  </si>
  <si>
    <t>3.4.3</t>
  </si>
  <si>
    <t>운영 서버 환경 구축</t>
  </si>
  <si>
    <t>3.4.4</t>
  </si>
  <si>
    <t>운영 서버 솔루션 설치</t>
  </si>
  <si>
    <t>3.4.5</t>
  </si>
  <si>
    <t>운영 서버 구성 환경 점검</t>
  </si>
  <si>
    <t>3.5</t>
  </si>
  <si>
    <t>운영 ADW/RDW, ETL, CDC 구축 (26.10 도입기준)</t>
  </si>
  <si>
    <t>3.5.1</t>
  </si>
  <si>
    <t>운영 ADW/RDW, ETL, CDC 구성 계획 수립</t>
  </si>
  <si>
    <t>3.5.2</t>
  </si>
  <si>
    <t>운영 ADW/RDW, ETL, CDC 구성 SR 요청</t>
  </si>
  <si>
    <t>3.5.3</t>
  </si>
  <si>
    <t>운영 ADW/RDW, ETL, CDC 구성 환경 구축</t>
  </si>
  <si>
    <t>3.5.4</t>
  </si>
  <si>
    <t>운영 ADW/RDW, ETL, CDC 솔루션 설치</t>
  </si>
  <si>
    <t>3.5.5</t>
  </si>
  <si>
    <t>운영 ADW/RDW, ETL, CDC 구성 점검</t>
  </si>
  <si>
    <t>3.6</t>
  </si>
  <si>
    <t>형상배포 아키텍처 환경 구축</t>
  </si>
  <si>
    <t>3.6.1</t>
  </si>
  <si>
    <t>형상배포 아키텍처 구성 계획 수립</t>
  </si>
  <si>
    <t>3.6.2</t>
  </si>
  <si>
    <t>형상배포 아키텍처 환경 구성 SR요청</t>
  </si>
  <si>
    <t>3.6.3</t>
  </si>
  <si>
    <t>3.6.4</t>
  </si>
  <si>
    <t>형상배포 아키텍처 환경 구성 점검</t>
  </si>
  <si>
    <t>3.6.5</t>
  </si>
  <si>
    <t>형상배포 아키텍처 가이드(운영)</t>
  </si>
  <si>
    <t>3.6.6</t>
  </si>
  <si>
    <t>운영 형상 환경 구성 계획 수립</t>
  </si>
  <si>
    <t>3.6.7</t>
  </si>
  <si>
    <t>운영 형상 환경 구성 SR요청</t>
  </si>
  <si>
    <t>3.6.8</t>
  </si>
  <si>
    <t>운영 형상 환경 구축</t>
  </si>
  <si>
    <t>3.6.9</t>
  </si>
  <si>
    <t>운영 형상 환경 구성 점검</t>
  </si>
  <si>
    <t>3.7</t>
  </si>
  <si>
    <t>DR인프라 환경구축</t>
  </si>
  <si>
    <t>3.7.1</t>
  </si>
  <si>
    <t>DR환경 구성 계획 수립</t>
  </si>
  <si>
    <t>3.7.2</t>
  </si>
  <si>
    <t>DR환경 구성 SR요청</t>
  </si>
  <si>
    <t>3.7.3</t>
  </si>
  <si>
    <t>3.7.4</t>
  </si>
  <si>
    <t>DR인프라 솔루션 설치</t>
  </si>
  <si>
    <t>3.7.5</t>
  </si>
  <si>
    <t>DR인프라 환경구성 점검</t>
  </si>
  <si>
    <t>3.8</t>
  </si>
  <si>
    <t>SQL 튜닝 계획 수립 및 수행</t>
  </si>
  <si>
    <t>3.8.1</t>
  </si>
  <si>
    <t>SQL 튜닝 계획 수립</t>
  </si>
  <si>
    <t>튜닝계획서및가이드</t>
  </si>
  <si>
    <t>3.8.2</t>
  </si>
  <si>
    <t>SQL 튜닝 가이드 작성</t>
  </si>
  <si>
    <t>3.8.3</t>
  </si>
  <si>
    <t>SQL 튜닝 수행</t>
  </si>
  <si>
    <t>3.9</t>
  </si>
  <si>
    <t>아키텍처 지원</t>
  </si>
  <si>
    <t>3.9.1</t>
  </si>
  <si>
    <t>통합테스트 지원 (1차)</t>
  </si>
  <si>
    <t>3.9.2</t>
  </si>
  <si>
    <t>통합테스트 지원 (2차)</t>
  </si>
  <si>
    <t>3.9.3</t>
  </si>
  <si>
    <t>통합테스트 지원 (3차)</t>
  </si>
  <si>
    <t>3.9.4</t>
  </si>
  <si>
    <t>통합테스트 지원 (4차)</t>
  </si>
  <si>
    <t>3.9.5</t>
  </si>
  <si>
    <t>통합테스트 지원 (5차)</t>
  </si>
  <si>
    <t>3.9.6</t>
  </si>
  <si>
    <t>영업점테스트 지원 (1차)</t>
  </si>
  <si>
    <t>3.9.7</t>
  </si>
  <si>
    <t>영업점테스트 지원 (2차)</t>
  </si>
  <si>
    <t>3.9.8</t>
  </si>
  <si>
    <t>이행테스트 지원</t>
  </si>
  <si>
    <t>3.10</t>
  </si>
  <si>
    <t>시스템 테스트 수행</t>
  </si>
  <si>
    <t>3.10.1</t>
  </si>
  <si>
    <t>성능 테스트 계획 일정 수립</t>
  </si>
  <si>
    <t>시스템 테스트 계획서</t>
  </si>
  <si>
    <t>3.10.2</t>
  </si>
  <si>
    <t>성능 테스트 시나리오 작성 및 일정 협의</t>
  </si>
  <si>
    <t>3.10.3</t>
  </si>
  <si>
    <t>성능 테스트 환경 구성 및 구성점검</t>
  </si>
  <si>
    <t>3.10.4</t>
  </si>
  <si>
    <t>성능 테스트 수행</t>
  </si>
  <si>
    <t>3.10.5</t>
  </si>
  <si>
    <t>성능 테스트 결과서 작성</t>
  </si>
  <si>
    <t>성능테스트결과서</t>
  </si>
  <si>
    <t>3.10.6</t>
  </si>
  <si>
    <t>가용성 테스트 계획 일정 수립</t>
  </si>
  <si>
    <t>3.10.7</t>
  </si>
  <si>
    <t>가용성 테스트 시나리오 작성 및 일정 협의</t>
  </si>
  <si>
    <t>3.10.8</t>
  </si>
  <si>
    <t>가용성 테스트 수행</t>
  </si>
  <si>
    <t>3.10.9</t>
  </si>
  <si>
    <t>가용성 테스트 결과서 작성</t>
  </si>
  <si>
    <t>가용성테스트결과서</t>
  </si>
  <si>
    <t>3.10.10</t>
  </si>
  <si>
    <t>DR전환 테스트 계획 일정 수립</t>
  </si>
  <si>
    <t>3.10.11</t>
  </si>
  <si>
    <t>DR전환 테스트 시나리오 작성 및 일정 협의</t>
  </si>
  <si>
    <t>3.10.12</t>
  </si>
  <si>
    <t>DR전환 테스트 환경 구성 및 구성점검</t>
  </si>
  <si>
    <t>3.10.13</t>
  </si>
  <si>
    <t>DR전환 테스트 수행</t>
  </si>
  <si>
    <t>3.10.14</t>
  </si>
  <si>
    <t>DR전환 테스트 결과서 작성</t>
  </si>
  <si>
    <t>DR전환테스트결과서</t>
  </si>
  <si>
    <t>3.11</t>
  </si>
  <si>
    <t>3.11.1</t>
  </si>
  <si>
    <t>3.11.2</t>
  </si>
  <si>
    <t>3.11.3</t>
  </si>
  <si>
    <t>3.11.4</t>
  </si>
  <si>
    <t>3.11.5</t>
  </si>
  <si>
    <t>3.11.6</t>
  </si>
  <si>
    <t>4</t>
  </si>
  <si>
    <t>이행</t>
  </si>
  <si>
    <t>4.1</t>
  </si>
  <si>
    <t>이행준비 및 이행지원</t>
  </si>
  <si>
    <t>4.1.1</t>
  </si>
  <si>
    <t>이행계획 수립 지원</t>
  </si>
  <si>
    <t>4.1.2</t>
  </si>
  <si>
    <t>이행지원</t>
  </si>
  <si>
    <t>NSIGHT 아키텍처 WBS 요약</t>
  </si>
  <si>
    <t>구분</t>
  </si>
  <si>
    <t>기간</t>
  </si>
  <si>
    <t>상위 TASK</t>
  </si>
  <si>
    <t>하위 포함 TASK 수</t>
  </si>
  <si>
    <t>1단계</t>
  </si>
  <si>
    <t>2025-12-08 ~ 2026-04-03</t>
  </si>
  <si>
    <t>2단계</t>
  </si>
  <si>
    <t>2026-04-06 ~ 2026-10-30</t>
  </si>
  <si>
    <t>3단계</t>
  </si>
  <si>
    <t>2026-10-01 ~ 2027-09-03</t>
  </si>
  <si>
    <t>4단계</t>
  </si>
  <si>
    <t>2027-07-26 ~ 2027-08-31</t>
  </si>
  <si>
    <t>항목</t>
  </si>
  <si>
    <t>값</t>
  </si>
  <si>
    <t>전체 WBS 행수</t>
  </si>
  <si>
    <t>표준산출물 지정 행수</t>
  </si>
  <si>
    <t>최초 계획 시작일</t>
  </si>
  <si>
    <t>최종 계획 종료일</t>
  </si>
  <si>
    <t>페이지</t>
  </si>
  <si>
    <t>파일명</t>
  </si>
  <si>
    <t>비고</t>
  </si>
  <si>
    <t>20260820_111927 WBS(1).jpg</t>
  </si>
  <si>
    <t>WBS 1페이지</t>
  </si>
  <si>
    <t>20260820_111936 WBS(1).jpg</t>
  </si>
  <si>
    <t>WBS 2페이지</t>
  </si>
  <si>
    <t>20260820_111943 WBS(1).jpg</t>
  </si>
  <si>
    <t>WBS 3페이지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</si>
</sst>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mmdd"/>
    <numFmt numFmtId="177" formatCode="yyyy\-mm\-dd"/>
  </numFmts>
  <fonts count="11">
    <font>
      <sz val="11"/>
      <name val="Carlito"/>
    </font>
    <font>
      <b/>
      <sz val="10"/>
      <color rgb="FFFFFFFF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rgb="FF1F1F1F"/>
      <name val="Malgun Gothic"/>
      <family val="3"/>
      <charset val="129"/>
    </font>
    <font>
      <sz val="11"/>
      <color rgb="FF333333"/>
      <name val="Malgun Gothic"/>
      <family val="3"/>
      <charset val="129"/>
    </font>
    <font>
      <sz val="11"/>
      <color rgb="FF555555"/>
      <name val="Malgun Gothic"/>
      <family val="3"/>
      <charset val="129"/>
    </font>
    <font>
      <b/>
      <sz val="11"/>
      <color rgb="FF333333"/>
      <name val="Malgun Gothic"/>
      <family val="3"/>
      <charset val="129"/>
    </font>
    <font>
      <b/>
      <sz val="16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D9EAD3"/>
      </patternFill>
    </fill>
    <fill>
      <patternFill patternType="solid">
        <fgColor rgb="FFEAF2F8"/>
      </patternFill>
    </fill>
    <fill>
      <patternFill patternType="solid">
        <fgColor rgb="FFF3F6FA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1" fillId="2" borderId="1" xfId="1" applyNumberFormat="1" applyFont="1" applyFill="1" applyBorder="1" applyAlignment="1">
      <alignment horizontal="center" vertical="center"/>
    </xf>
    <xf numFmtId="0" fontId="1" fillId="2" borderId="2" xfId="1" applyNumberFormat="1" applyFont="1" applyFill="1" applyBorder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/>
    <xf numFmtId="0" fontId="3" fillId="3" borderId="4" xfId="1" applyNumberFormat="1" applyFont="1" applyFill="1" applyBorder="1" applyAlignment="1">
      <alignment vertical="center" wrapText="1"/>
    </xf>
    <xf numFmtId="0" fontId="3" fillId="3" borderId="5" xfId="1" applyNumberFormat="1" applyFont="1" applyFill="1" applyBorder="1" applyAlignment="1">
      <alignment vertical="center" wrapText="1"/>
    </xf>
    <xf numFmtId="176" fontId="3" fillId="3" borderId="5" xfId="1" applyNumberFormat="1" applyFont="1" applyFill="1" applyBorder="1" applyAlignment="1">
      <alignment vertical="center" wrapText="1"/>
    </xf>
    <xf numFmtId="0" fontId="3" fillId="3" borderId="6" xfId="1" applyNumberFormat="1" applyFont="1" applyFill="1" applyBorder="1" applyAlignment="1">
      <alignment vertical="center" wrapText="1"/>
    </xf>
    <xf numFmtId="0" fontId="4" fillId="4" borderId="4" xfId="1" applyNumberFormat="1" applyFont="1" applyFill="1" applyBorder="1" applyAlignment="1">
      <alignment vertical="center" wrapText="1"/>
    </xf>
    <xf numFmtId="0" fontId="4" fillId="4" borderId="5" xfId="1" applyNumberFormat="1" applyFont="1" applyFill="1" applyBorder="1" applyAlignment="1">
      <alignment vertical="center" wrapText="1"/>
    </xf>
    <xf numFmtId="176" fontId="4" fillId="4" borderId="5" xfId="1" applyNumberFormat="1" applyFont="1" applyFill="1" applyBorder="1" applyAlignment="1">
      <alignment vertical="center" wrapText="1"/>
    </xf>
    <xf numFmtId="0" fontId="4" fillId="4" borderId="6" xfId="1" applyNumberFormat="1" applyFont="1" applyFill="1" applyBorder="1" applyAlignment="1">
      <alignment vertical="center" wrapText="1"/>
    </xf>
    <xf numFmtId="0" fontId="5" fillId="0" borderId="4" xfId="1" applyNumberFormat="1" applyFont="1" applyFill="1" applyBorder="1" applyAlignment="1">
      <alignment vertical="center" wrapText="1"/>
    </xf>
    <xf numFmtId="0" fontId="5" fillId="0" borderId="5" xfId="1" applyNumberFormat="1" applyFont="1" applyFill="1" applyBorder="1" applyAlignment="1">
      <alignment vertical="center" wrapText="1"/>
    </xf>
    <xf numFmtId="176" fontId="5" fillId="0" borderId="5" xfId="1" applyNumberFormat="1" applyFont="1" applyFill="1" applyBorder="1" applyAlignment="1">
      <alignment vertical="center" wrapText="1"/>
    </xf>
    <xf numFmtId="0" fontId="5" fillId="0" borderId="6" xfId="1" applyNumberFormat="1" applyFont="1" applyFill="1" applyBorder="1" applyAlignment="1">
      <alignment vertical="center" wrapText="1"/>
    </xf>
    <xf numFmtId="0" fontId="6" fillId="0" borderId="4" xfId="1" applyNumberFormat="1" applyFont="1" applyFill="1" applyBorder="1" applyAlignment="1">
      <alignment vertical="center" wrapText="1"/>
    </xf>
    <xf numFmtId="0" fontId="6" fillId="0" borderId="5" xfId="1" applyNumberFormat="1" applyFont="1" applyFill="1" applyBorder="1" applyAlignment="1">
      <alignment vertical="center" wrapText="1"/>
    </xf>
    <xf numFmtId="176" fontId="6" fillId="0" borderId="5" xfId="1" applyNumberFormat="1" applyFont="1" applyFill="1" applyBorder="1" applyAlignment="1">
      <alignment vertical="center" wrapText="1"/>
    </xf>
    <xf numFmtId="0" fontId="6" fillId="0" borderId="6" xfId="1" applyNumberFormat="1" applyFont="1" applyFill="1" applyBorder="1" applyAlignment="1">
      <alignment vertical="center" wrapText="1"/>
    </xf>
    <xf numFmtId="0" fontId="7" fillId="5" borderId="4" xfId="1" applyNumberFormat="1" applyFont="1" applyFill="1" applyBorder="1" applyAlignment="1">
      <alignment vertical="center" wrapText="1"/>
    </xf>
    <xf numFmtId="0" fontId="7" fillId="5" borderId="5" xfId="1" applyNumberFormat="1" applyFont="1" applyFill="1" applyBorder="1" applyAlignment="1">
      <alignment vertical="center" wrapText="1"/>
    </xf>
    <xf numFmtId="176" fontId="7" fillId="5" borderId="5" xfId="1" applyNumberFormat="1" applyFont="1" applyFill="1" applyBorder="1" applyAlignment="1">
      <alignment vertical="center" wrapText="1"/>
    </xf>
    <xf numFmtId="0" fontId="7" fillId="5" borderId="6" xfId="1" applyNumberFormat="1" applyFont="1" applyFill="1" applyBorder="1" applyAlignment="1">
      <alignment vertical="center" wrapText="1"/>
    </xf>
    <xf numFmtId="0" fontId="5" fillId="0" borderId="7" xfId="1" applyNumberFormat="1" applyFont="1" applyFill="1" applyBorder="1" applyAlignment="1">
      <alignment vertical="center" wrapText="1"/>
    </xf>
    <xf numFmtId="0" fontId="5" fillId="0" borderId="8" xfId="1" applyNumberFormat="1" applyFont="1" applyFill="1" applyBorder="1" applyAlignment="1">
      <alignment vertical="center" wrapText="1"/>
    </xf>
    <xf numFmtId="176" fontId="5" fillId="0" borderId="8" xfId="1" applyNumberFormat="1" applyFont="1" applyFill="1" applyBorder="1" applyAlignment="1">
      <alignment vertical="center" wrapText="1"/>
    </xf>
    <xf numFmtId="0" fontId="5" fillId="0" borderId="9" xfId="1" applyNumberFormat="1" applyFont="1" applyFill="1" applyBorder="1" applyAlignment="1">
      <alignment vertical="center" wrapText="1"/>
    </xf>
    <xf numFmtId="0" fontId="2" fillId="0" borderId="4" xfId="1" applyNumberFormat="1" applyFont="1" applyFill="1" applyBorder="1" applyAlignment="1">
      <alignment wrapText="1"/>
    </xf>
    <xf numFmtId="0" fontId="2" fillId="0" borderId="5" xfId="1" applyNumberFormat="1" applyFont="1" applyFill="1" applyBorder="1" applyAlignment="1">
      <alignment wrapText="1"/>
    </xf>
    <xf numFmtId="0" fontId="2" fillId="0" borderId="6" xfId="1" applyNumberFormat="1" applyFont="1" applyFill="1" applyBorder="1" applyAlignment="1">
      <alignment wrapText="1"/>
    </xf>
    <xf numFmtId="0" fontId="2" fillId="0" borderId="7" xfId="1" applyNumberFormat="1" applyFont="1" applyFill="1" applyBorder="1" applyAlignment="1">
      <alignment wrapText="1"/>
    </xf>
    <xf numFmtId="0" fontId="2" fillId="0" borderId="8" xfId="1" applyNumberFormat="1" applyFont="1" applyFill="1" applyBorder="1" applyAlignment="1">
      <alignment wrapText="1"/>
    </xf>
    <xf numFmtId="0" fontId="2" fillId="0" borderId="9" xfId="1" applyNumberFormat="1" applyFont="1" applyFill="1" applyBorder="1" applyAlignment="1">
      <alignment wrapText="1"/>
    </xf>
    <xf numFmtId="0" fontId="2" fillId="0" borderId="4" xfId="1" applyNumberFormat="1" applyFont="1" applyFill="1" applyBorder="1"/>
    <xf numFmtId="0" fontId="2" fillId="0" borderId="6" xfId="1" applyNumberFormat="1" applyFont="1" applyFill="1" applyBorder="1"/>
    <xf numFmtId="177" fontId="2" fillId="0" borderId="6" xfId="1" applyNumberFormat="1" applyFont="1" applyFill="1" applyBorder="1"/>
    <xf numFmtId="0" fontId="2" fillId="0" borderId="7" xfId="1" applyNumberFormat="1" applyFont="1" applyFill="1" applyBorder="1"/>
    <xf numFmtId="177" fontId="2" fillId="0" borderId="9" xfId="1" applyNumberFormat="1" applyFont="1" applyFill="1" applyBorder="1"/>
    <xf numFmtId="0" fontId="2" fillId="0" borderId="5" xfId="1" applyNumberFormat="1" applyFont="1" applyFill="1" applyBorder="1"/>
    <xf numFmtId="0" fontId="2" fillId="0" borderId="8" xfId="1" applyNumberFormat="1" applyFont="1" applyFill="1" applyBorder="1"/>
    <xf numFmtId="0" fontId="2" fillId="0" borderId="9" xfId="1" applyNumberFormat="1" applyFont="1" applyFill="1" applyBorder="1"/>
    <xf numFmtId="0" fontId="8" fillId="2" borderId="0" xfId="1" applyNumberFormat="1" applyFont="1" applyFill="1" applyBorder="1" applyAlignment="1">
      <alignment horizontal="left" vertical="center"/>
    </xf>
    <xf numFmtId="0" fontId="4" fillId="4" borderId="5" xfId="1" applyNumberFormat="1" applyFont="1" applyFill="1" applyBorder="1" applyAlignment="1">
      <alignment horizontal="left" vertical="center" wrapText="1" indent="2"/>
    </xf>
    <xf numFmtId="0" fontId="7" fillId="5" borderId="5" xfId="1" applyNumberFormat="1" applyFont="1" applyFill="1" applyBorder="1" applyAlignment="1">
      <alignment horizontal="left" vertical="center" wrapText="1" indent="2"/>
    </xf>
    <xf numFmtId="0" fontId="5" fillId="0" borderId="5" xfId="1" applyNumberFormat="1" applyFont="1" applyFill="1" applyBorder="1" applyAlignment="1">
      <alignment horizontal="left" vertical="center" wrapText="1" indent="4"/>
    </xf>
    <xf numFmtId="0" fontId="7" fillId="5" borderId="5" xfId="1" applyNumberFormat="1" applyFont="1" applyFill="1" applyBorder="1" applyAlignment="1">
      <alignment horizontal="left" vertical="center" wrapText="1" indent="4"/>
    </xf>
    <xf numFmtId="0" fontId="5" fillId="0" borderId="8" xfId="1" applyNumberFormat="1" applyFont="1" applyFill="1" applyBorder="1" applyAlignment="1">
      <alignment horizontal="left" vertical="center" wrapText="1" indent="4"/>
    </xf>
    <xf numFmtId="0" fontId="6" fillId="0" borderId="5" xfId="1" applyNumberFormat="1" applyFont="1" applyFill="1" applyBorder="1" applyAlignment="1">
      <alignment horizontal="left" vertical="center" wrapText="1" indent="6"/>
    </xf>
    <xf numFmtId="0" fontId="1" fillId="2" borderId="2" xfId="1" applyNumberFormat="1" applyFont="1" applyFill="1" applyBorder="1" applyAlignment="1">
      <alignment horizontal="left" vertical="center" indent="8"/>
    </xf>
    <xf numFmtId="0" fontId="6" fillId="0" borderId="5" xfId="1" applyNumberFormat="1" applyFont="1" applyFill="1" applyBorder="1" applyAlignment="1">
      <alignment horizontal="left" vertical="center" wrapText="1" indent="8"/>
    </xf>
    <xf numFmtId="0" fontId="2" fillId="0" borderId="0" xfId="1" applyNumberFormat="1" applyFont="1" applyFill="1" applyBorder="1" applyAlignment="1">
      <alignment horizontal="left" indent="8"/>
    </xf>
    <xf numFmtId="0" fontId="0" fillId="0" borderId="0" xfId="0" applyAlignment="1">
      <alignment horizontal="left" indent="8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단계별 </a:t>
            </a:r>
            <a:r>
              <a:rPr lang="en-US"/>
              <a:t>WBS Task </a:t>
            </a:r>
            <a:r>
              <a:rPr lang="ko-KR" altLang="en-US"/>
              <a:t>수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기간</c:v>
          </c:tx>
          <c:invertIfNegative val="1"/>
          <c:cat>
            <c:strRef>
              <c:f>요약!$A$4:$A$7</c:f>
              <c:strCache>
                <c:ptCount val="4"/>
                <c:pt idx="0">
                  <c:v>1단계</c:v>
                </c:pt>
                <c:pt idx="1">
                  <c:v>2단계</c:v>
                </c:pt>
                <c:pt idx="2">
                  <c:v>3단계</c:v>
                </c:pt>
                <c:pt idx="3">
                  <c:v>4단계</c:v>
                </c:pt>
              </c:strCache>
            </c:strRef>
          </c:cat>
          <c:val>
            <c:numRef>
              <c:f>요약!$B$4:$B$7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7-4F0A-B312-F9B7EDE0ACE0}"/>
            </c:ext>
          </c:extLst>
        </c:ser>
        <c:ser>
          <c:idx val="1"/>
          <c:order val="1"/>
          <c:tx>
            <c:v>상위 TASK</c:v>
          </c:tx>
          <c:invertIfNegative val="1"/>
          <c:cat>
            <c:strRef>
              <c:f>요약!$A$4:$A$7</c:f>
              <c:strCache>
                <c:ptCount val="4"/>
                <c:pt idx="0">
                  <c:v>1단계</c:v>
                </c:pt>
                <c:pt idx="1">
                  <c:v>2단계</c:v>
                </c:pt>
                <c:pt idx="2">
                  <c:v>3단계</c:v>
                </c:pt>
                <c:pt idx="3">
                  <c:v>4단계</c:v>
                </c:pt>
              </c:strCache>
            </c:strRef>
          </c:cat>
          <c:val>
            <c:numRef>
              <c:f>요약!$C$4:$C$7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7-4F0A-B312-F9B7EDE0ACE0}"/>
            </c:ext>
          </c:extLst>
        </c:ser>
        <c:ser>
          <c:idx val="2"/>
          <c:order val="2"/>
          <c:tx>
            <c:v>하위 포함 TASK 수</c:v>
          </c:tx>
          <c:invertIfNegative val="1"/>
          <c:cat>
            <c:strRef>
              <c:f>요약!$A$4:$A$7</c:f>
              <c:strCache>
                <c:ptCount val="4"/>
                <c:pt idx="0">
                  <c:v>1단계</c:v>
                </c:pt>
                <c:pt idx="1">
                  <c:v>2단계</c:v>
                </c:pt>
                <c:pt idx="2">
                  <c:v>3단계</c:v>
                </c:pt>
                <c:pt idx="3">
                  <c:v>4단계</c:v>
                </c:pt>
              </c:strCache>
            </c:strRef>
          </c:cat>
          <c:val>
            <c:numRef>
              <c:f>요약!$D$4:$D$7</c:f>
              <c:numCache>
                <c:formatCode>General</c:formatCode>
                <c:ptCount val="4"/>
                <c:pt idx="0">
                  <c:v>46</c:v>
                </c:pt>
                <c:pt idx="1">
                  <c:v>104</c:v>
                </c:pt>
                <c:pt idx="2">
                  <c:v>80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7-4F0A-B312-F9B7EDE0A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WBS_Table" displayName="WBS_Table" ref="A1:G236" totalsRowShown="0">
  <autoFilter ref="A1:G236"/>
  <tableColumns count="7">
    <tableColumn id="1" name="경로"/>
    <tableColumn id="2" name="ID"/>
    <tableColumn id="3" name="KEY"/>
    <tableColumn id="4" name="TASK명"/>
    <tableColumn id="5" name="계획시작일"/>
    <tableColumn id="6" name="계획종료일"/>
    <tableColumn id="7" name="표준산출물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"/>
  <sheetViews>
    <sheetView tabSelected="1" zoomScale="130" zoomScaleNormal="130" workbookViewId="0">
      <selection activeCell="D7" sqref="D7"/>
    </sheetView>
  </sheetViews>
  <sheetFormatPr defaultRowHeight="14.4"/>
  <cols>
    <col min="1" max="1" width="14" customWidth="1"/>
    <col min="2" max="2" width="8" customWidth="1"/>
    <col min="3" max="3" width="9" customWidth="1"/>
    <col min="4" max="4" width="58" style="53" customWidth="1"/>
    <col min="5" max="6" width="14" customWidth="1"/>
    <col min="7" max="7" width="28" customWidth="1"/>
  </cols>
  <sheetData>
    <row r="1" spans="1:26" ht="12" customHeight="1">
      <c r="A1" s="1" t="s">
        <v>0</v>
      </c>
      <c r="B1" s="2" t="s">
        <v>1</v>
      </c>
      <c r="C1" s="2" t="s">
        <v>2</v>
      </c>
      <c r="D1" s="50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>
      <c r="A2" s="5"/>
      <c r="B2" s="6">
        <v>1</v>
      </c>
      <c r="C2" s="6" t="s">
        <v>7</v>
      </c>
      <c r="D2" s="6" t="s">
        <v>8</v>
      </c>
      <c r="E2" s="7">
        <v>45999</v>
      </c>
      <c r="F2" s="7">
        <v>46759</v>
      </c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5" t="s">
        <v>9</v>
      </c>
      <c r="B3" s="6">
        <v>1</v>
      </c>
      <c r="C3" s="6">
        <v>1</v>
      </c>
      <c r="D3" s="6" t="s">
        <v>10</v>
      </c>
      <c r="E3" s="7">
        <v>45999</v>
      </c>
      <c r="F3" s="7">
        <v>46115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>
      <c r="A4" s="9" t="s">
        <v>11</v>
      </c>
      <c r="B4" s="10">
        <v>3</v>
      </c>
      <c r="C4" s="10">
        <v>2</v>
      </c>
      <c r="D4" s="44" t="s">
        <v>12</v>
      </c>
      <c r="E4" s="11">
        <v>45999</v>
      </c>
      <c r="F4" s="11">
        <v>46003</v>
      </c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>
      <c r="A5" s="13" t="s">
        <v>13</v>
      </c>
      <c r="B5" s="14">
        <v>5</v>
      </c>
      <c r="C5" s="14">
        <v>3</v>
      </c>
      <c r="D5" s="46" t="s">
        <v>14</v>
      </c>
      <c r="E5" s="15">
        <v>45999</v>
      </c>
      <c r="F5" s="15">
        <v>46003</v>
      </c>
      <c r="G5" s="1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>
      <c r="A6" s="13" t="s">
        <v>15</v>
      </c>
      <c r="B6" s="14">
        <v>5</v>
      </c>
      <c r="C6" s="14">
        <v>4</v>
      </c>
      <c r="D6" s="46" t="s">
        <v>16</v>
      </c>
      <c r="E6" s="15">
        <v>45999</v>
      </c>
      <c r="F6" s="15">
        <v>46003</v>
      </c>
      <c r="G6" s="1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>
      <c r="A7" s="9" t="s">
        <v>17</v>
      </c>
      <c r="B7" s="10">
        <v>3</v>
      </c>
      <c r="C7" s="10">
        <v>5</v>
      </c>
      <c r="D7" s="44" t="s">
        <v>18</v>
      </c>
      <c r="E7" s="11">
        <v>46006</v>
      </c>
      <c r="F7" s="11">
        <v>46052</v>
      </c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>
      <c r="A8" s="13" t="s">
        <v>19</v>
      </c>
      <c r="B8" s="14">
        <v>5</v>
      </c>
      <c r="C8" s="14">
        <v>6</v>
      </c>
      <c r="D8" s="46" t="s">
        <v>20</v>
      </c>
      <c r="E8" s="15">
        <v>46006</v>
      </c>
      <c r="F8" s="15">
        <v>46017</v>
      </c>
      <c r="G8" s="1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>
      <c r="A9" s="13" t="s">
        <v>21</v>
      </c>
      <c r="B9" s="14">
        <v>5</v>
      </c>
      <c r="C9" s="14">
        <v>7</v>
      </c>
      <c r="D9" s="46" t="s">
        <v>22</v>
      </c>
      <c r="E9" s="15">
        <v>46006</v>
      </c>
      <c r="F9" s="15">
        <v>46017</v>
      </c>
      <c r="G9" s="1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>
      <c r="A10" s="13" t="s">
        <v>23</v>
      </c>
      <c r="B10" s="14">
        <v>5</v>
      </c>
      <c r="C10" s="14">
        <v>8</v>
      </c>
      <c r="D10" s="46" t="s">
        <v>24</v>
      </c>
      <c r="E10" s="15">
        <v>46020</v>
      </c>
      <c r="F10" s="15">
        <v>46031</v>
      </c>
      <c r="G10" s="1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>
      <c r="A11" s="13" t="s">
        <v>25</v>
      </c>
      <c r="B11" s="14">
        <v>5</v>
      </c>
      <c r="C11" s="14">
        <v>9</v>
      </c>
      <c r="D11" s="46" t="s">
        <v>26</v>
      </c>
      <c r="E11" s="15">
        <v>46027</v>
      </c>
      <c r="F11" s="15">
        <v>46031</v>
      </c>
      <c r="G11" s="1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>
      <c r="A12" s="13" t="s">
        <v>27</v>
      </c>
      <c r="B12" s="14">
        <v>5</v>
      </c>
      <c r="C12" s="14">
        <v>10</v>
      </c>
      <c r="D12" s="46" t="s">
        <v>28</v>
      </c>
      <c r="E12" s="15">
        <v>46027</v>
      </c>
      <c r="F12" s="15">
        <v>46052</v>
      </c>
      <c r="G12" s="1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>
      <c r="A13" s="17" t="s">
        <v>29</v>
      </c>
      <c r="B13" s="18">
        <v>7</v>
      </c>
      <c r="C13" s="18">
        <v>11</v>
      </c>
      <c r="D13" s="49" t="s">
        <v>30</v>
      </c>
      <c r="E13" s="19">
        <v>46027</v>
      </c>
      <c r="F13" s="19">
        <v>46052</v>
      </c>
      <c r="G13" s="20" t="s">
        <v>31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>
      <c r="A14" s="9" t="s">
        <v>32</v>
      </c>
      <c r="B14" s="10">
        <v>3</v>
      </c>
      <c r="C14" s="10">
        <v>12</v>
      </c>
      <c r="D14" s="44" t="s">
        <v>33</v>
      </c>
      <c r="E14" s="11">
        <v>46048</v>
      </c>
      <c r="F14" s="11">
        <v>46073</v>
      </c>
      <c r="G14" s="1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>
      <c r="A15" s="13" t="s">
        <v>34</v>
      </c>
      <c r="B15" s="14">
        <v>5</v>
      </c>
      <c r="C15" s="14">
        <v>14</v>
      </c>
      <c r="D15" s="46" t="s">
        <v>35</v>
      </c>
      <c r="E15" s="15">
        <v>46048</v>
      </c>
      <c r="F15" s="15">
        <v>46073</v>
      </c>
      <c r="G15" s="16" t="s">
        <v>36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>
      <c r="A16" s="9" t="s">
        <v>37</v>
      </c>
      <c r="B16" s="10">
        <v>3</v>
      </c>
      <c r="C16" s="10">
        <v>15</v>
      </c>
      <c r="D16" s="44" t="s">
        <v>38</v>
      </c>
      <c r="E16" s="11">
        <v>46055</v>
      </c>
      <c r="F16" s="11">
        <v>46108</v>
      </c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>
      <c r="A17" s="13" t="s">
        <v>39</v>
      </c>
      <c r="B17" s="14">
        <v>5</v>
      </c>
      <c r="C17" s="14">
        <v>16</v>
      </c>
      <c r="D17" s="46" t="s">
        <v>40</v>
      </c>
      <c r="E17" s="15">
        <v>46055</v>
      </c>
      <c r="F17" s="15">
        <v>46108</v>
      </c>
      <c r="G17" s="1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>
      <c r="A18" s="17" t="s">
        <v>41</v>
      </c>
      <c r="B18" s="18">
        <v>7</v>
      </c>
      <c r="C18" s="18">
        <v>17</v>
      </c>
      <c r="D18" s="49" t="s">
        <v>42</v>
      </c>
      <c r="E18" s="19">
        <v>46055</v>
      </c>
      <c r="F18" s="19">
        <v>46108</v>
      </c>
      <c r="G18" s="20" t="s">
        <v>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>
      <c r="A19" s="17" t="s">
        <v>44</v>
      </c>
      <c r="B19" s="18">
        <v>7</v>
      </c>
      <c r="C19" s="18">
        <v>18</v>
      </c>
      <c r="D19" s="49" t="s">
        <v>45</v>
      </c>
      <c r="E19" s="19">
        <v>46055</v>
      </c>
      <c r="F19" s="19">
        <v>46108</v>
      </c>
      <c r="G19" s="2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>
      <c r="A20" s="17" t="s">
        <v>46</v>
      </c>
      <c r="B20" s="18">
        <v>7</v>
      </c>
      <c r="C20" s="18">
        <v>246</v>
      </c>
      <c r="D20" s="49" t="s">
        <v>47</v>
      </c>
      <c r="E20" s="19">
        <v>46055</v>
      </c>
      <c r="F20" s="19">
        <v>46108</v>
      </c>
      <c r="G20" s="2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>
      <c r="A21" s="13" t="s">
        <v>48</v>
      </c>
      <c r="B21" s="14">
        <v>5</v>
      </c>
      <c r="C21" s="14">
        <v>20</v>
      </c>
      <c r="D21" s="46" t="s">
        <v>49</v>
      </c>
      <c r="E21" s="15">
        <v>46055</v>
      </c>
      <c r="F21" s="15">
        <v>46073</v>
      </c>
      <c r="G21" s="1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>
      <c r="A22" s="13" t="s">
        <v>50</v>
      </c>
      <c r="B22" s="14">
        <v>5</v>
      </c>
      <c r="C22" s="14">
        <v>21</v>
      </c>
      <c r="D22" s="46" t="s">
        <v>51</v>
      </c>
      <c r="E22" s="15">
        <v>46055</v>
      </c>
      <c r="F22" s="15">
        <v>46073</v>
      </c>
      <c r="G22" s="1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>
      <c r="A23" s="13" t="s">
        <v>52</v>
      </c>
      <c r="B23" s="14">
        <v>5</v>
      </c>
      <c r="C23" s="14">
        <v>22</v>
      </c>
      <c r="D23" s="46" t="s">
        <v>53</v>
      </c>
      <c r="E23" s="15">
        <v>46072</v>
      </c>
      <c r="F23" s="15">
        <v>46073</v>
      </c>
      <c r="G23" s="1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>
      <c r="A24" s="9" t="s">
        <v>54</v>
      </c>
      <c r="B24" s="10">
        <v>3</v>
      </c>
      <c r="C24" s="10">
        <v>23</v>
      </c>
      <c r="D24" s="44" t="s">
        <v>55</v>
      </c>
      <c r="E24" s="11">
        <v>46072</v>
      </c>
      <c r="F24" s="11">
        <v>46112</v>
      </c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>
      <c r="A25" s="13" t="s">
        <v>56</v>
      </c>
      <c r="B25" s="14">
        <v>5</v>
      </c>
      <c r="C25" s="14">
        <v>24</v>
      </c>
      <c r="D25" s="46" t="s">
        <v>57</v>
      </c>
      <c r="E25" s="15">
        <v>46076</v>
      </c>
      <c r="F25" s="15">
        <v>46112</v>
      </c>
      <c r="G25" s="1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>
      <c r="A26" s="17" t="s">
        <v>58</v>
      </c>
      <c r="B26" s="18">
        <v>7</v>
      </c>
      <c r="C26" s="18">
        <v>25</v>
      </c>
      <c r="D26" s="49" t="s">
        <v>59</v>
      </c>
      <c r="E26" s="19">
        <v>46076</v>
      </c>
      <c r="F26" s="19">
        <v>46080</v>
      </c>
      <c r="G26" s="2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>
      <c r="A27" s="17" t="s">
        <v>60</v>
      </c>
      <c r="B27" s="18">
        <v>7</v>
      </c>
      <c r="C27" s="18">
        <v>26</v>
      </c>
      <c r="D27" s="49" t="s">
        <v>61</v>
      </c>
      <c r="E27" s="19">
        <v>46084</v>
      </c>
      <c r="F27" s="19">
        <v>46101</v>
      </c>
      <c r="G27" s="20" t="s">
        <v>62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>
      <c r="A28" s="17" t="s">
        <v>63</v>
      </c>
      <c r="B28" s="18">
        <v>7</v>
      </c>
      <c r="C28" s="18">
        <v>27</v>
      </c>
      <c r="D28" s="49" t="s">
        <v>64</v>
      </c>
      <c r="E28" s="19">
        <v>46104</v>
      </c>
      <c r="F28" s="19">
        <v>46112</v>
      </c>
      <c r="G28" s="2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>
      <c r="A29" s="13" t="s">
        <v>65</v>
      </c>
      <c r="B29" s="14">
        <v>5</v>
      </c>
      <c r="C29" s="14">
        <v>28</v>
      </c>
      <c r="D29" s="46" t="s">
        <v>66</v>
      </c>
      <c r="E29" s="15">
        <v>46072</v>
      </c>
      <c r="F29" s="15">
        <v>46112</v>
      </c>
      <c r="G29" s="1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>
      <c r="A30" s="17" t="s">
        <v>67</v>
      </c>
      <c r="B30" s="18">
        <v>7</v>
      </c>
      <c r="C30" s="18">
        <v>29</v>
      </c>
      <c r="D30" s="49" t="s">
        <v>68</v>
      </c>
      <c r="E30" s="19">
        <v>46072</v>
      </c>
      <c r="F30" s="19">
        <v>46087</v>
      </c>
      <c r="G30" s="2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>
      <c r="A31" s="17" t="s">
        <v>69</v>
      </c>
      <c r="B31" s="18">
        <v>7</v>
      </c>
      <c r="C31" s="18">
        <v>30</v>
      </c>
      <c r="D31" s="49" t="s">
        <v>70</v>
      </c>
      <c r="E31" s="19">
        <v>46076</v>
      </c>
      <c r="F31" s="19">
        <v>46094</v>
      </c>
      <c r="G31" s="2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>
      <c r="A32" s="17" t="s">
        <v>71</v>
      </c>
      <c r="B32" s="18">
        <v>7</v>
      </c>
      <c r="C32" s="18">
        <v>31</v>
      </c>
      <c r="D32" s="49" t="s">
        <v>72</v>
      </c>
      <c r="E32" s="19">
        <v>46084</v>
      </c>
      <c r="F32" s="19">
        <v>46112</v>
      </c>
      <c r="G32" s="2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>
      <c r="A33" s="17" t="s">
        <v>73</v>
      </c>
      <c r="B33" s="18">
        <v>7</v>
      </c>
      <c r="C33" s="18">
        <v>32</v>
      </c>
      <c r="D33" s="49" t="s">
        <v>74</v>
      </c>
      <c r="E33" s="19">
        <v>46090</v>
      </c>
      <c r="F33" s="19">
        <v>46112</v>
      </c>
      <c r="G33" s="2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>
      <c r="A34" s="13" t="s">
        <v>75</v>
      </c>
      <c r="B34" s="14">
        <v>5</v>
      </c>
      <c r="C34" s="14">
        <v>36</v>
      </c>
      <c r="D34" s="46" t="s">
        <v>76</v>
      </c>
      <c r="E34" s="15">
        <v>46076</v>
      </c>
      <c r="F34" s="15">
        <v>46112</v>
      </c>
      <c r="G34" s="1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>
      <c r="A35" s="17" t="s">
        <v>77</v>
      </c>
      <c r="B35" s="18">
        <v>7</v>
      </c>
      <c r="C35" s="18">
        <v>37</v>
      </c>
      <c r="D35" s="49" t="s">
        <v>78</v>
      </c>
      <c r="E35" s="19">
        <v>46076</v>
      </c>
      <c r="F35" s="19">
        <v>46112</v>
      </c>
      <c r="G35" s="2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>
      <c r="A36" s="17" t="s">
        <v>79</v>
      </c>
      <c r="B36" s="18">
        <v>7</v>
      </c>
      <c r="C36" s="18">
        <v>38</v>
      </c>
      <c r="D36" s="49" t="s">
        <v>80</v>
      </c>
      <c r="E36" s="19">
        <v>46087</v>
      </c>
      <c r="F36" s="19">
        <v>46112</v>
      </c>
      <c r="G36" s="2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>
      <c r="A37" s="13" t="s">
        <v>81</v>
      </c>
      <c r="B37" s="14">
        <v>5</v>
      </c>
      <c r="C37" s="14">
        <v>39</v>
      </c>
      <c r="D37" s="46" t="s">
        <v>82</v>
      </c>
      <c r="E37" s="15">
        <v>46076</v>
      </c>
      <c r="F37" s="15">
        <v>46112</v>
      </c>
      <c r="G37" s="1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>
      <c r="A38" s="17" t="s">
        <v>83</v>
      </c>
      <c r="B38" s="18">
        <v>7</v>
      </c>
      <c r="C38" s="18">
        <v>40</v>
      </c>
      <c r="D38" s="49" t="s">
        <v>84</v>
      </c>
      <c r="E38" s="19">
        <v>46076</v>
      </c>
      <c r="F38" s="19">
        <v>46112</v>
      </c>
      <c r="G38" s="2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>
      <c r="A39" s="17" t="s">
        <v>85</v>
      </c>
      <c r="B39" s="18">
        <v>7</v>
      </c>
      <c r="C39" s="18">
        <v>41</v>
      </c>
      <c r="D39" s="49" t="s">
        <v>86</v>
      </c>
      <c r="E39" s="19">
        <v>46076</v>
      </c>
      <c r="F39" s="19">
        <v>46112</v>
      </c>
      <c r="G39" s="2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>
      <c r="A40" s="13" t="s">
        <v>87</v>
      </c>
      <c r="B40" s="14">
        <v>5</v>
      </c>
      <c r="C40" s="14">
        <v>42</v>
      </c>
      <c r="D40" s="46" t="s">
        <v>88</v>
      </c>
      <c r="E40" s="15">
        <v>46072</v>
      </c>
      <c r="F40" s="15">
        <v>46112</v>
      </c>
      <c r="G40" s="1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>
      <c r="A41" s="17" t="s">
        <v>89</v>
      </c>
      <c r="B41" s="18">
        <v>7</v>
      </c>
      <c r="C41" s="18">
        <v>43</v>
      </c>
      <c r="D41" s="49" t="s">
        <v>90</v>
      </c>
      <c r="E41" s="19">
        <v>46072</v>
      </c>
      <c r="F41" s="19">
        <v>46112</v>
      </c>
      <c r="G41" s="20" t="s">
        <v>91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>
      <c r="A42" s="17" t="s">
        <v>92</v>
      </c>
      <c r="B42" s="18">
        <v>7</v>
      </c>
      <c r="C42" s="18">
        <v>44</v>
      </c>
      <c r="D42" s="49" t="s">
        <v>93</v>
      </c>
      <c r="E42" s="19">
        <v>46090</v>
      </c>
      <c r="F42" s="19">
        <v>46112</v>
      </c>
      <c r="G42" s="20" t="s">
        <v>91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>
      <c r="A43" s="13" t="s">
        <v>94</v>
      </c>
      <c r="B43" s="14">
        <v>5</v>
      </c>
      <c r="C43" s="14">
        <v>45</v>
      </c>
      <c r="D43" s="46" t="s">
        <v>95</v>
      </c>
      <c r="E43" s="15">
        <v>46072</v>
      </c>
      <c r="F43" s="15">
        <v>46112</v>
      </c>
      <c r="G43" s="1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>
      <c r="A44" s="17" t="s">
        <v>96</v>
      </c>
      <c r="B44" s="18">
        <v>7</v>
      </c>
      <c r="C44" s="18">
        <v>46</v>
      </c>
      <c r="D44" s="49" t="s">
        <v>97</v>
      </c>
      <c r="E44" s="19">
        <v>46072</v>
      </c>
      <c r="F44" s="19">
        <v>46094</v>
      </c>
      <c r="G44" s="20" t="s">
        <v>98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>
      <c r="A45" s="17" t="s">
        <v>99</v>
      </c>
      <c r="B45" s="18">
        <v>7</v>
      </c>
      <c r="C45" s="18">
        <v>47</v>
      </c>
      <c r="D45" s="49" t="s">
        <v>100</v>
      </c>
      <c r="E45" s="19">
        <v>46097</v>
      </c>
      <c r="F45" s="19">
        <v>46106</v>
      </c>
      <c r="G45" s="20" t="s">
        <v>101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>
      <c r="A46" s="17" t="s">
        <v>102</v>
      </c>
      <c r="B46" s="18">
        <v>7</v>
      </c>
      <c r="C46" s="18">
        <v>48</v>
      </c>
      <c r="D46" s="49" t="s">
        <v>103</v>
      </c>
      <c r="E46" s="19">
        <v>46097</v>
      </c>
      <c r="F46" s="19">
        <v>46106</v>
      </c>
      <c r="G46" s="20" t="s">
        <v>104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>
      <c r="A47" s="17" t="s">
        <v>105</v>
      </c>
      <c r="B47" s="18">
        <v>7</v>
      </c>
      <c r="C47" s="18">
        <v>49</v>
      </c>
      <c r="D47" s="49" t="s">
        <v>106</v>
      </c>
      <c r="E47" s="19">
        <v>46097</v>
      </c>
      <c r="F47" s="19">
        <v>46112</v>
      </c>
      <c r="G47" s="20" t="s">
        <v>107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>
      <c r="A48" s="9" t="s">
        <v>108</v>
      </c>
      <c r="B48" s="10">
        <v>3</v>
      </c>
      <c r="C48" s="10">
        <v>245</v>
      </c>
      <c r="D48" s="44" t="s">
        <v>53</v>
      </c>
      <c r="E48" s="11">
        <v>46113</v>
      </c>
      <c r="F48" s="11">
        <v>46115</v>
      </c>
      <c r="G48" s="1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>
      <c r="A49" s="5" t="s">
        <v>109</v>
      </c>
      <c r="B49" s="6">
        <v>1</v>
      </c>
      <c r="C49" s="6">
        <v>55</v>
      </c>
      <c r="D49" s="6" t="s">
        <v>110</v>
      </c>
      <c r="E49" s="7">
        <v>46118</v>
      </c>
      <c r="F49" s="7">
        <v>46325</v>
      </c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>
      <c r="A50" s="9" t="s">
        <v>111</v>
      </c>
      <c r="B50" s="10">
        <v>3</v>
      </c>
      <c r="C50" s="10">
        <v>56</v>
      </c>
      <c r="D50" s="44" t="s">
        <v>112</v>
      </c>
      <c r="E50" s="11">
        <v>46118</v>
      </c>
      <c r="F50" s="11">
        <v>46129</v>
      </c>
      <c r="G50" s="1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>
      <c r="A51" s="13" t="s">
        <v>113</v>
      </c>
      <c r="B51" s="14">
        <v>5</v>
      </c>
      <c r="C51" s="14">
        <v>57</v>
      </c>
      <c r="D51" s="46" t="s">
        <v>114</v>
      </c>
      <c r="E51" s="15">
        <v>46118</v>
      </c>
      <c r="F51" s="15">
        <v>46122</v>
      </c>
      <c r="G51" s="1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>
      <c r="A52" s="13" t="s">
        <v>115</v>
      </c>
      <c r="B52" s="14">
        <v>5</v>
      </c>
      <c r="C52" s="14">
        <v>58</v>
      </c>
      <c r="D52" s="46" t="s">
        <v>116</v>
      </c>
      <c r="E52" s="15">
        <v>46118</v>
      </c>
      <c r="F52" s="15">
        <v>46122</v>
      </c>
      <c r="G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>
      <c r="A53" s="13" t="s">
        <v>117</v>
      </c>
      <c r="B53" s="14">
        <v>5</v>
      </c>
      <c r="C53" s="14">
        <v>59</v>
      </c>
      <c r="D53" s="46" t="s">
        <v>118</v>
      </c>
      <c r="E53" s="15">
        <v>46118</v>
      </c>
      <c r="F53" s="15">
        <v>46122</v>
      </c>
      <c r="G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>
      <c r="A54" s="13" t="s">
        <v>119</v>
      </c>
      <c r="B54" s="14">
        <v>5</v>
      </c>
      <c r="C54" s="14">
        <v>60</v>
      </c>
      <c r="D54" s="46" t="s">
        <v>120</v>
      </c>
      <c r="E54" s="15">
        <v>46118</v>
      </c>
      <c r="F54" s="15">
        <v>46122</v>
      </c>
      <c r="G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>
      <c r="A55" s="13" t="s">
        <v>121</v>
      </c>
      <c r="B55" s="14">
        <v>5</v>
      </c>
      <c r="C55" s="14">
        <v>61</v>
      </c>
      <c r="D55" s="46" t="s">
        <v>122</v>
      </c>
      <c r="E55" s="15">
        <v>46125</v>
      </c>
      <c r="F55" s="15">
        <v>46129</v>
      </c>
      <c r="G55" s="1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>
      <c r="A56" s="13" t="s">
        <v>123</v>
      </c>
      <c r="B56" s="14">
        <v>5</v>
      </c>
      <c r="C56" s="14">
        <v>62</v>
      </c>
      <c r="D56" s="46" t="s">
        <v>124</v>
      </c>
      <c r="E56" s="15">
        <v>46125</v>
      </c>
      <c r="F56" s="15">
        <v>46129</v>
      </c>
      <c r="G56" s="1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>
      <c r="A57" s="13" t="s">
        <v>125</v>
      </c>
      <c r="B57" s="14">
        <v>5</v>
      </c>
      <c r="C57" s="14">
        <v>63</v>
      </c>
      <c r="D57" s="46" t="s">
        <v>126</v>
      </c>
      <c r="E57" s="15">
        <v>46125</v>
      </c>
      <c r="F57" s="15">
        <v>46129</v>
      </c>
      <c r="G57" s="1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>
      <c r="A58" s="9" t="s">
        <v>127</v>
      </c>
      <c r="B58" s="10">
        <v>3</v>
      </c>
      <c r="C58" s="10">
        <v>64</v>
      </c>
      <c r="D58" s="44" t="s">
        <v>55</v>
      </c>
      <c r="E58" s="11">
        <v>46118</v>
      </c>
      <c r="F58" s="11">
        <v>46325</v>
      </c>
      <c r="G58" s="1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>
      <c r="A59" s="13" t="s">
        <v>128</v>
      </c>
      <c r="B59" s="14">
        <v>5</v>
      </c>
      <c r="C59" s="14">
        <v>65</v>
      </c>
      <c r="D59" s="46" t="s">
        <v>129</v>
      </c>
      <c r="E59" s="15">
        <v>46132</v>
      </c>
      <c r="F59" s="15">
        <v>46192</v>
      </c>
      <c r="G59" s="1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>
      <c r="A60" s="17" t="s">
        <v>130</v>
      </c>
      <c r="B60" s="18">
        <v>7</v>
      </c>
      <c r="C60" s="18">
        <v>66</v>
      </c>
      <c r="D60" s="49" t="s">
        <v>131</v>
      </c>
      <c r="E60" s="19">
        <v>46132</v>
      </c>
      <c r="F60" s="19">
        <v>46150</v>
      </c>
      <c r="G60" s="20" t="s">
        <v>62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>
      <c r="A61" s="17" t="s">
        <v>132</v>
      </c>
      <c r="B61" s="18">
        <v>7</v>
      </c>
      <c r="C61" s="18">
        <v>67</v>
      </c>
      <c r="D61" s="49" t="s">
        <v>133</v>
      </c>
      <c r="E61" s="19">
        <v>46153</v>
      </c>
      <c r="F61" s="19">
        <v>46192</v>
      </c>
      <c r="G61" s="2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>
      <c r="A62" s="13" t="s">
        <v>134</v>
      </c>
      <c r="B62" s="14">
        <v>5</v>
      </c>
      <c r="C62" s="14">
        <v>68</v>
      </c>
      <c r="D62" s="46" t="s">
        <v>135</v>
      </c>
      <c r="E62" s="15">
        <v>46132</v>
      </c>
      <c r="F62" s="15">
        <v>46192</v>
      </c>
      <c r="G62" s="1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>
      <c r="A63" s="17" t="s">
        <v>136</v>
      </c>
      <c r="B63" s="18">
        <v>7</v>
      </c>
      <c r="C63" s="18">
        <v>69</v>
      </c>
      <c r="D63" s="49" t="s">
        <v>137</v>
      </c>
      <c r="E63" s="19">
        <v>46132</v>
      </c>
      <c r="F63" s="19">
        <v>46142</v>
      </c>
      <c r="G63" s="2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>
      <c r="A64" s="17" t="s">
        <v>138</v>
      </c>
      <c r="B64" s="18">
        <v>7</v>
      </c>
      <c r="C64" s="18">
        <v>70</v>
      </c>
      <c r="D64" s="49" t="s">
        <v>139</v>
      </c>
      <c r="E64" s="19">
        <v>46132</v>
      </c>
      <c r="F64" s="19">
        <v>46142</v>
      </c>
      <c r="G64" s="2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>
      <c r="A65" s="17" t="s">
        <v>140</v>
      </c>
      <c r="B65" s="18">
        <v>7</v>
      </c>
      <c r="C65" s="18">
        <v>71</v>
      </c>
      <c r="D65" s="49" t="s">
        <v>141</v>
      </c>
      <c r="E65" s="19">
        <v>46132</v>
      </c>
      <c r="F65" s="19">
        <v>46142</v>
      </c>
      <c r="G65" s="2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>
      <c r="A66" s="17" t="s">
        <v>142</v>
      </c>
      <c r="B66" s="18">
        <v>7</v>
      </c>
      <c r="C66" s="18">
        <v>72</v>
      </c>
      <c r="D66" s="49" t="s">
        <v>143</v>
      </c>
      <c r="E66" s="19">
        <v>46146</v>
      </c>
      <c r="F66" s="19">
        <v>46171</v>
      </c>
      <c r="G66" s="2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>
      <c r="A67" s="17" t="s">
        <v>144</v>
      </c>
      <c r="B67" s="18">
        <v>7</v>
      </c>
      <c r="C67" s="18">
        <v>73</v>
      </c>
      <c r="D67" s="49" t="s">
        <v>145</v>
      </c>
      <c r="E67" s="19">
        <v>46153</v>
      </c>
      <c r="F67" s="19">
        <v>46171</v>
      </c>
      <c r="G67" s="2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>
      <c r="A68" s="17" t="s">
        <v>146</v>
      </c>
      <c r="B68" s="18">
        <v>7</v>
      </c>
      <c r="C68" s="18">
        <v>74</v>
      </c>
      <c r="D68" s="49" t="s">
        <v>147</v>
      </c>
      <c r="E68" s="19">
        <v>46174</v>
      </c>
      <c r="F68" s="19">
        <v>46192</v>
      </c>
      <c r="G68" s="20" t="s">
        <v>43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>
      <c r="A69" s="13" t="s">
        <v>148</v>
      </c>
      <c r="B69" s="14">
        <v>5</v>
      </c>
      <c r="C69" s="14">
        <v>75</v>
      </c>
      <c r="D69" s="46" t="s">
        <v>149</v>
      </c>
      <c r="E69" s="15">
        <v>46146</v>
      </c>
      <c r="F69" s="15">
        <v>46192</v>
      </c>
      <c r="G69" s="1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>
      <c r="A70" s="17" t="s">
        <v>150</v>
      </c>
      <c r="B70" s="18">
        <v>7</v>
      </c>
      <c r="C70" s="18">
        <v>76</v>
      </c>
      <c r="D70" s="49" t="s">
        <v>78</v>
      </c>
      <c r="E70" s="19">
        <v>46146</v>
      </c>
      <c r="F70" s="19">
        <v>46164</v>
      </c>
      <c r="G70" s="2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>
      <c r="A71" s="17" t="s">
        <v>151</v>
      </c>
      <c r="B71" s="18">
        <v>7</v>
      </c>
      <c r="C71" s="18">
        <v>77</v>
      </c>
      <c r="D71" s="49" t="s">
        <v>80</v>
      </c>
      <c r="E71" s="19">
        <v>46168</v>
      </c>
      <c r="F71" s="19">
        <v>46192</v>
      </c>
      <c r="G71" s="20" t="s">
        <v>43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>
      <c r="A72" s="13" t="s">
        <v>152</v>
      </c>
      <c r="B72" s="14">
        <v>5</v>
      </c>
      <c r="C72" s="14">
        <v>78</v>
      </c>
      <c r="D72" s="46" t="s">
        <v>153</v>
      </c>
      <c r="E72" s="15">
        <v>46174</v>
      </c>
      <c r="F72" s="15">
        <v>46192</v>
      </c>
      <c r="G72" s="1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>
      <c r="A73" s="17" t="s">
        <v>154</v>
      </c>
      <c r="B73" s="18">
        <v>7</v>
      </c>
      <c r="C73" s="18">
        <v>79</v>
      </c>
      <c r="D73" s="49" t="s">
        <v>84</v>
      </c>
      <c r="E73" s="19">
        <v>46174</v>
      </c>
      <c r="F73" s="19">
        <v>46192</v>
      </c>
      <c r="G73" s="2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>
      <c r="A74" s="17" t="s">
        <v>155</v>
      </c>
      <c r="B74" s="18">
        <v>7</v>
      </c>
      <c r="C74" s="18">
        <v>80</v>
      </c>
      <c r="D74" s="49" t="s">
        <v>156</v>
      </c>
      <c r="E74" s="19">
        <v>46174</v>
      </c>
      <c r="F74" s="19">
        <v>46192</v>
      </c>
      <c r="G74" s="20" t="s">
        <v>43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>
      <c r="A75" s="13" t="s">
        <v>157</v>
      </c>
      <c r="B75" s="14">
        <v>5</v>
      </c>
      <c r="C75" s="14">
        <v>81</v>
      </c>
      <c r="D75" s="46" t="s">
        <v>158</v>
      </c>
      <c r="E75" s="15">
        <v>46195</v>
      </c>
      <c r="F75" s="15">
        <v>46262</v>
      </c>
      <c r="G75" s="1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>
      <c r="A76" s="17" t="s">
        <v>159</v>
      </c>
      <c r="B76" s="18">
        <v>7</v>
      </c>
      <c r="C76" s="18">
        <v>82</v>
      </c>
      <c r="D76" s="49" t="s">
        <v>160</v>
      </c>
      <c r="E76" s="19">
        <v>46195</v>
      </c>
      <c r="F76" s="19">
        <v>46213</v>
      </c>
      <c r="G76" s="2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>
      <c r="A77" s="17" t="s">
        <v>161</v>
      </c>
      <c r="B77" s="18">
        <v>7</v>
      </c>
      <c r="C77" s="18">
        <v>83</v>
      </c>
      <c r="D77" s="49" t="s">
        <v>162</v>
      </c>
      <c r="E77" s="19">
        <v>46202</v>
      </c>
      <c r="F77" s="19">
        <v>46220</v>
      </c>
      <c r="G77" s="2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>
      <c r="A78" s="17" t="s">
        <v>163</v>
      </c>
      <c r="B78" s="18">
        <v>7</v>
      </c>
      <c r="C78" s="18">
        <v>84</v>
      </c>
      <c r="D78" s="49" t="s">
        <v>164</v>
      </c>
      <c r="E78" s="19">
        <v>46209</v>
      </c>
      <c r="F78" s="19">
        <v>46227</v>
      </c>
      <c r="G78" s="2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>
      <c r="A79" s="17" t="s">
        <v>165</v>
      </c>
      <c r="B79" s="18">
        <v>7</v>
      </c>
      <c r="C79" s="18">
        <v>88</v>
      </c>
      <c r="D79" s="49" t="s">
        <v>166</v>
      </c>
      <c r="E79" s="19">
        <v>46230</v>
      </c>
      <c r="F79" s="19">
        <v>46248</v>
      </c>
      <c r="G79" s="2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>
      <c r="A80" s="17" t="s">
        <v>167</v>
      </c>
      <c r="B80" s="18">
        <v>7</v>
      </c>
      <c r="C80" s="18">
        <v>89</v>
      </c>
      <c r="D80" s="49" t="s">
        <v>168</v>
      </c>
      <c r="E80" s="19">
        <v>46252</v>
      </c>
      <c r="F80" s="19">
        <v>46262</v>
      </c>
      <c r="G80" s="20" t="s">
        <v>43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>
      <c r="A81" s="13" t="s">
        <v>169</v>
      </c>
      <c r="B81" s="14">
        <v>5</v>
      </c>
      <c r="C81" s="14">
        <v>90</v>
      </c>
      <c r="D81" s="46" t="s">
        <v>170</v>
      </c>
      <c r="E81" s="15">
        <v>46252</v>
      </c>
      <c r="F81" s="15">
        <v>46283</v>
      </c>
      <c r="G81" s="1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>
      <c r="A82" s="17" t="s">
        <v>171</v>
      </c>
      <c r="B82" s="18">
        <v>7</v>
      </c>
      <c r="C82" s="18">
        <v>91</v>
      </c>
      <c r="D82" s="49" t="s">
        <v>172</v>
      </c>
      <c r="E82" s="19">
        <v>46252</v>
      </c>
      <c r="F82" s="19">
        <v>46262</v>
      </c>
      <c r="G82" s="2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>
      <c r="A83" s="17" t="s">
        <v>173</v>
      </c>
      <c r="B83" s="18">
        <v>7</v>
      </c>
      <c r="C83" s="18">
        <v>92</v>
      </c>
      <c r="D83" s="49" t="s">
        <v>174</v>
      </c>
      <c r="E83" s="19">
        <v>46265</v>
      </c>
      <c r="F83" s="19">
        <v>46276</v>
      </c>
      <c r="G83" s="2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>
      <c r="A84" s="17" t="s">
        <v>175</v>
      </c>
      <c r="B84" s="18">
        <v>7</v>
      </c>
      <c r="C84" s="18">
        <v>93</v>
      </c>
      <c r="D84" s="49" t="s">
        <v>176</v>
      </c>
      <c r="E84" s="19">
        <v>46272</v>
      </c>
      <c r="F84" s="19">
        <v>46283</v>
      </c>
      <c r="G84" s="2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>
      <c r="A85" s="17" t="s">
        <v>177</v>
      </c>
      <c r="B85" s="18">
        <v>7</v>
      </c>
      <c r="C85" s="18">
        <v>94</v>
      </c>
      <c r="D85" s="49" t="s">
        <v>178</v>
      </c>
      <c r="E85" s="19">
        <v>46272</v>
      </c>
      <c r="F85" s="19">
        <v>46283</v>
      </c>
      <c r="G85" s="20" t="s">
        <v>43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>
      <c r="A86" s="13" t="s">
        <v>179</v>
      </c>
      <c r="B86" s="14">
        <v>5</v>
      </c>
      <c r="C86" s="14">
        <v>95</v>
      </c>
      <c r="D86" s="46" t="s">
        <v>180</v>
      </c>
      <c r="E86" s="15">
        <v>46118</v>
      </c>
      <c r="F86" s="15">
        <v>46325</v>
      </c>
      <c r="G86" s="1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>
      <c r="A87" s="17" t="s">
        <v>181</v>
      </c>
      <c r="B87" s="18">
        <v>7</v>
      </c>
      <c r="C87" s="18">
        <v>96</v>
      </c>
      <c r="D87" s="49" t="s">
        <v>182</v>
      </c>
      <c r="E87" s="19">
        <v>46118</v>
      </c>
      <c r="F87" s="19">
        <v>46192</v>
      </c>
      <c r="G87" s="2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>
      <c r="A88" s="17" t="s">
        <v>183</v>
      </c>
      <c r="B88" s="18">
        <v>9</v>
      </c>
      <c r="C88" s="18">
        <v>97</v>
      </c>
      <c r="D88" s="51" t="s">
        <v>184</v>
      </c>
      <c r="E88" s="19">
        <v>46118</v>
      </c>
      <c r="F88" s="19">
        <v>46129</v>
      </c>
      <c r="G88" s="2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>
      <c r="A89" s="17" t="s">
        <v>185</v>
      </c>
      <c r="B89" s="18">
        <v>9</v>
      </c>
      <c r="C89" s="18">
        <v>98</v>
      </c>
      <c r="D89" s="51" t="s">
        <v>186</v>
      </c>
      <c r="E89" s="19">
        <v>46132</v>
      </c>
      <c r="F89" s="19">
        <v>46142</v>
      </c>
      <c r="G89" s="2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>
      <c r="A90" s="17" t="s">
        <v>187</v>
      </c>
      <c r="B90" s="18">
        <v>9</v>
      </c>
      <c r="C90" s="18">
        <v>99</v>
      </c>
      <c r="D90" s="51" t="s">
        <v>188</v>
      </c>
      <c r="E90" s="19">
        <v>46146</v>
      </c>
      <c r="F90" s="19">
        <v>46157</v>
      </c>
      <c r="G90" s="2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>
      <c r="A91" s="17" t="s">
        <v>189</v>
      </c>
      <c r="B91" s="18">
        <v>9</v>
      </c>
      <c r="C91" s="18">
        <v>100</v>
      </c>
      <c r="D91" s="51" t="s">
        <v>190</v>
      </c>
      <c r="E91" s="19">
        <v>46160</v>
      </c>
      <c r="F91" s="19">
        <v>46171</v>
      </c>
      <c r="G91" s="2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>
      <c r="A92" s="17" t="s">
        <v>191</v>
      </c>
      <c r="B92" s="18">
        <v>9</v>
      </c>
      <c r="C92" s="18">
        <v>101</v>
      </c>
      <c r="D92" s="51" t="s">
        <v>192</v>
      </c>
      <c r="E92" s="19">
        <v>46168</v>
      </c>
      <c r="F92" s="19">
        <v>46178</v>
      </c>
      <c r="G92" s="2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>
      <c r="A93" s="17" t="s">
        <v>193</v>
      </c>
      <c r="B93" s="18">
        <v>9</v>
      </c>
      <c r="C93" s="18">
        <v>102</v>
      </c>
      <c r="D93" s="51" t="s">
        <v>194</v>
      </c>
      <c r="E93" s="19">
        <v>46181</v>
      </c>
      <c r="F93" s="19">
        <v>46192</v>
      </c>
      <c r="G93" s="20" t="s">
        <v>91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>
      <c r="A94" s="17" t="s">
        <v>195</v>
      </c>
      <c r="B94" s="18">
        <v>7</v>
      </c>
      <c r="C94" s="18">
        <v>103</v>
      </c>
      <c r="D94" s="49" t="s">
        <v>196</v>
      </c>
      <c r="E94" s="19">
        <v>46132</v>
      </c>
      <c r="F94" s="19">
        <v>46185</v>
      </c>
      <c r="G94" s="2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>
      <c r="A95" s="17" t="s">
        <v>197</v>
      </c>
      <c r="B95" s="18">
        <v>9</v>
      </c>
      <c r="C95" s="18">
        <v>104</v>
      </c>
      <c r="D95" s="51" t="s">
        <v>198</v>
      </c>
      <c r="E95" s="19">
        <v>46132</v>
      </c>
      <c r="F95" s="19">
        <v>46150</v>
      </c>
      <c r="G95" s="2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>
      <c r="A96" s="17" t="s">
        <v>199</v>
      </c>
      <c r="B96" s="18">
        <v>9</v>
      </c>
      <c r="C96" s="18">
        <v>105</v>
      </c>
      <c r="D96" s="51" t="s">
        <v>200</v>
      </c>
      <c r="E96" s="19">
        <v>46153</v>
      </c>
      <c r="F96" s="19">
        <v>46171</v>
      </c>
      <c r="G96" s="2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>
      <c r="A97" s="17" t="s">
        <v>201</v>
      </c>
      <c r="B97" s="18">
        <v>9</v>
      </c>
      <c r="C97" s="18">
        <v>106</v>
      </c>
      <c r="D97" s="51" t="s">
        <v>202</v>
      </c>
      <c r="E97" s="19">
        <v>46174</v>
      </c>
      <c r="F97" s="19">
        <v>46185</v>
      </c>
      <c r="G97" s="20" t="s">
        <v>43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>
      <c r="A98" s="17" t="s">
        <v>203</v>
      </c>
      <c r="B98" s="18">
        <v>7</v>
      </c>
      <c r="C98" s="18">
        <v>107</v>
      </c>
      <c r="D98" s="49" t="s">
        <v>204</v>
      </c>
      <c r="E98" s="19">
        <v>46202</v>
      </c>
      <c r="F98" s="19">
        <v>46219</v>
      </c>
      <c r="G98" s="2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>
      <c r="A99" s="17" t="s">
        <v>205</v>
      </c>
      <c r="B99" s="18">
        <v>9</v>
      </c>
      <c r="C99" s="18">
        <v>108</v>
      </c>
      <c r="D99" s="51" t="s">
        <v>206</v>
      </c>
      <c r="E99" s="19">
        <v>46202</v>
      </c>
      <c r="F99" s="19">
        <v>46219</v>
      </c>
      <c r="G99" s="2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>
      <c r="A100" s="17" t="s">
        <v>207</v>
      </c>
      <c r="B100" s="18">
        <v>9</v>
      </c>
      <c r="C100" s="18">
        <v>109</v>
      </c>
      <c r="D100" s="51" t="s">
        <v>208</v>
      </c>
      <c r="E100" s="19">
        <v>46202</v>
      </c>
      <c r="F100" s="19">
        <v>46219</v>
      </c>
      <c r="G100" s="2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>
      <c r="A101" s="17" t="s">
        <v>209</v>
      </c>
      <c r="B101" s="18">
        <v>9</v>
      </c>
      <c r="C101" s="18">
        <v>110</v>
      </c>
      <c r="D101" s="51" t="s">
        <v>210</v>
      </c>
      <c r="E101" s="19">
        <v>46202</v>
      </c>
      <c r="F101" s="19">
        <v>46219</v>
      </c>
      <c r="G101" s="2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>
      <c r="A102" s="17" t="s">
        <v>211</v>
      </c>
      <c r="B102" s="18">
        <v>9</v>
      </c>
      <c r="C102" s="18">
        <v>111</v>
      </c>
      <c r="D102" s="51" t="s">
        <v>212</v>
      </c>
      <c r="E102" s="19">
        <v>46202</v>
      </c>
      <c r="F102" s="19">
        <v>46219</v>
      </c>
      <c r="G102" s="2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>
      <c r="A103" s="17" t="s">
        <v>213</v>
      </c>
      <c r="B103" s="18">
        <v>9</v>
      </c>
      <c r="C103" s="18">
        <v>112</v>
      </c>
      <c r="D103" s="51" t="s">
        <v>214</v>
      </c>
      <c r="E103" s="19">
        <v>46202</v>
      </c>
      <c r="F103" s="19">
        <v>46219</v>
      </c>
      <c r="G103" s="2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>
      <c r="A104" s="17" t="s">
        <v>215</v>
      </c>
      <c r="B104" s="18">
        <v>9</v>
      </c>
      <c r="C104" s="18">
        <v>113</v>
      </c>
      <c r="D104" s="51" t="s">
        <v>216</v>
      </c>
      <c r="E104" s="19">
        <v>46202</v>
      </c>
      <c r="F104" s="19">
        <v>46219</v>
      </c>
      <c r="G104" s="2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>
      <c r="A105" s="17" t="s">
        <v>217</v>
      </c>
      <c r="B105" s="18">
        <v>7</v>
      </c>
      <c r="C105" s="18">
        <v>114</v>
      </c>
      <c r="D105" s="49" t="s">
        <v>218</v>
      </c>
      <c r="E105" s="19">
        <v>46301</v>
      </c>
      <c r="F105" s="19">
        <v>46325</v>
      </c>
      <c r="G105" s="2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>
      <c r="A106" s="17" t="s">
        <v>219</v>
      </c>
      <c r="B106" s="18">
        <v>9</v>
      </c>
      <c r="C106" s="18">
        <v>115</v>
      </c>
      <c r="D106" s="51" t="s">
        <v>220</v>
      </c>
      <c r="E106" s="19">
        <v>46301</v>
      </c>
      <c r="F106" s="19">
        <v>46318</v>
      </c>
      <c r="G106" s="2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>
      <c r="A107" s="17" t="s">
        <v>221</v>
      </c>
      <c r="B107" s="18">
        <v>9</v>
      </c>
      <c r="C107" s="18">
        <v>116</v>
      </c>
      <c r="D107" s="51" t="s">
        <v>222</v>
      </c>
      <c r="E107" s="19">
        <v>46301</v>
      </c>
      <c r="F107" s="19">
        <v>46318</v>
      </c>
      <c r="G107" s="2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>
      <c r="A108" s="17" t="s">
        <v>223</v>
      </c>
      <c r="B108" s="18">
        <v>9</v>
      </c>
      <c r="C108" s="18">
        <v>117</v>
      </c>
      <c r="D108" s="51" t="s">
        <v>224</v>
      </c>
      <c r="E108" s="19">
        <v>46307</v>
      </c>
      <c r="F108" s="19">
        <v>46325</v>
      </c>
      <c r="G108" s="2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>
      <c r="A109" s="17" t="s">
        <v>225</v>
      </c>
      <c r="B109" s="18">
        <v>9</v>
      </c>
      <c r="C109" s="18">
        <v>118</v>
      </c>
      <c r="D109" s="51" t="s">
        <v>226</v>
      </c>
      <c r="E109" s="19">
        <v>46307</v>
      </c>
      <c r="F109" s="19">
        <v>46325</v>
      </c>
      <c r="G109" s="2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>
      <c r="A110" s="17" t="s">
        <v>227</v>
      </c>
      <c r="B110" s="18">
        <v>9</v>
      </c>
      <c r="C110" s="18">
        <v>119</v>
      </c>
      <c r="D110" s="51" t="s">
        <v>228</v>
      </c>
      <c r="E110" s="19">
        <v>46307</v>
      </c>
      <c r="F110" s="19">
        <v>46325</v>
      </c>
      <c r="G110" s="2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>
      <c r="A111" s="9" t="s">
        <v>229</v>
      </c>
      <c r="B111" s="10">
        <v>3</v>
      </c>
      <c r="C111" s="10">
        <v>120</v>
      </c>
      <c r="D111" s="44" t="s">
        <v>230</v>
      </c>
      <c r="E111" s="11">
        <v>46118</v>
      </c>
      <c r="F111" s="11">
        <v>46325</v>
      </c>
      <c r="G111" s="1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>
      <c r="A112" s="13" t="s">
        <v>231</v>
      </c>
      <c r="B112" s="14">
        <v>5</v>
      </c>
      <c r="C112" s="14">
        <v>121</v>
      </c>
      <c r="D112" s="46" t="s">
        <v>232</v>
      </c>
      <c r="E112" s="15">
        <v>46118</v>
      </c>
      <c r="F112" s="15">
        <v>46295</v>
      </c>
      <c r="G112" s="1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>
      <c r="A113" s="13" t="s">
        <v>233</v>
      </c>
      <c r="B113" s="14">
        <v>5</v>
      </c>
      <c r="C113" s="14">
        <v>122</v>
      </c>
      <c r="D113" s="46" t="s">
        <v>234</v>
      </c>
      <c r="E113" s="15">
        <v>46174</v>
      </c>
      <c r="F113" s="15">
        <v>46262</v>
      </c>
      <c r="G113" s="1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>
      <c r="A114" s="13" t="s">
        <v>235</v>
      </c>
      <c r="B114" s="14">
        <v>5</v>
      </c>
      <c r="C114" s="14">
        <v>123</v>
      </c>
      <c r="D114" s="46" t="s">
        <v>236</v>
      </c>
      <c r="E114" s="15">
        <v>46202</v>
      </c>
      <c r="F114" s="15">
        <v>46325</v>
      </c>
      <c r="G114" s="1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>
      <c r="A115" s="9" t="s">
        <v>237</v>
      </c>
      <c r="B115" s="10">
        <v>3</v>
      </c>
      <c r="C115" s="10">
        <v>124</v>
      </c>
      <c r="D115" s="44" t="s">
        <v>238</v>
      </c>
      <c r="E115" s="11">
        <v>46265</v>
      </c>
      <c r="F115" s="11">
        <v>46325</v>
      </c>
      <c r="G115" s="1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>
      <c r="A116" s="13" t="s">
        <v>239</v>
      </c>
      <c r="B116" s="14">
        <v>5</v>
      </c>
      <c r="C116" s="14">
        <v>125</v>
      </c>
      <c r="D116" s="46" t="s">
        <v>240</v>
      </c>
      <c r="E116" s="15">
        <v>46265</v>
      </c>
      <c r="F116" s="15">
        <v>46295</v>
      </c>
      <c r="G116" s="1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>
      <c r="A117" s="13" t="s">
        <v>241</v>
      </c>
      <c r="B117" s="14">
        <v>5</v>
      </c>
      <c r="C117" s="14">
        <v>126</v>
      </c>
      <c r="D117" s="46" t="s">
        <v>242</v>
      </c>
      <c r="E117" s="15">
        <v>46301</v>
      </c>
      <c r="F117" s="15">
        <v>46325</v>
      </c>
      <c r="G117" s="1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>
      <c r="A118" s="13" t="s">
        <v>243</v>
      </c>
      <c r="B118" s="14">
        <v>5</v>
      </c>
      <c r="C118" s="14">
        <v>127</v>
      </c>
      <c r="D118" s="46" t="s">
        <v>244</v>
      </c>
      <c r="E118" s="15">
        <v>46301</v>
      </c>
      <c r="F118" s="15">
        <v>46325</v>
      </c>
      <c r="G118" s="1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>
      <c r="A119" s="9" t="s">
        <v>245</v>
      </c>
      <c r="B119" s="10">
        <v>3</v>
      </c>
      <c r="C119" s="10">
        <v>128</v>
      </c>
      <c r="D119" s="44" t="s">
        <v>246</v>
      </c>
      <c r="E119" s="11">
        <v>46195</v>
      </c>
      <c r="F119" s="11">
        <v>46227</v>
      </c>
      <c r="G119" s="1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>
      <c r="A120" s="13" t="s">
        <v>247</v>
      </c>
      <c r="B120" s="14">
        <v>5</v>
      </c>
      <c r="C120" s="14">
        <v>129</v>
      </c>
      <c r="D120" s="46" t="s">
        <v>248</v>
      </c>
      <c r="E120" s="15">
        <v>46195</v>
      </c>
      <c r="F120" s="15">
        <v>46213</v>
      </c>
      <c r="G120" s="1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>
      <c r="A121" s="13" t="s">
        <v>249</v>
      </c>
      <c r="B121" s="14">
        <v>5</v>
      </c>
      <c r="C121" s="14">
        <v>192</v>
      </c>
      <c r="D121" s="46" t="s">
        <v>250</v>
      </c>
      <c r="E121" s="15">
        <v>46209</v>
      </c>
      <c r="F121" s="15">
        <v>46227</v>
      </c>
      <c r="G121" s="16" t="s">
        <v>43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>
      <c r="A122" s="13" t="s">
        <v>251</v>
      </c>
      <c r="B122" s="14">
        <v>5</v>
      </c>
      <c r="C122" s="14">
        <v>130</v>
      </c>
      <c r="D122" s="46" t="s">
        <v>252</v>
      </c>
      <c r="E122" s="15">
        <v>46195</v>
      </c>
      <c r="F122" s="15">
        <v>46213</v>
      </c>
      <c r="G122" s="1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>
      <c r="A123" s="13" t="s">
        <v>253</v>
      </c>
      <c r="B123" s="14">
        <v>5</v>
      </c>
      <c r="C123" s="14">
        <v>191</v>
      </c>
      <c r="D123" s="46" t="s">
        <v>254</v>
      </c>
      <c r="E123" s="15">
        <v>46209</v>
      </c>
      <c r="F123" s="15">
        <v>46227</v>
      </c>
      <c r="G123" s="1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>
      <c r="A124" s="9" t="s">
        <v>255</v>
      </c>
      <c r="B124" s="10">
        <v>3</v>
      </c>
      <c r="C124" s="10">
        <v>133</v>
      </c>
      <c r="D124" s="44" t="s">
        <v>256</v>
      </c>
      <c r="E124" s="11">
        <v>46174</v>
      </c>
      <c r="F124" s="11">
        <v>46325</v>
      </c>
      <c r="G124" s="1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>
      <c r="A125" s="13" t="s">
        <v>257</v>
      </c>
      <c r="B125" s="14">
        <v>5</v>
      </c>
      <c r="C125" s="14">
        <v>134</v>
      </c>
      <c r="D125" s="46" t="s">
        <v>258</v>
      </c>
      <c r="E125" s="15">
        <v>46174</v>
      </c>
      <c r="F125" s="15">
        <v>46185</v>
      </c>
      <c r="G125" s="1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>
      <c r="A126" s="13" t="s">
        <v>259</v>
      </c>
      <c r="B126" s="14">
        <v>5</v>
      </c>
      <c r="C126" s="14">
        <v>200</v>
      </c>
      <c r="D126" s="46" t="s">
        <v>260</v>
      </c>
      <c r="E126" s="15">
        <v>46188</v>
      </c>
      <c r="F126" s="15">
        <v>46192</v>
      </c>
      <c r="G126" s="1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>
      <c r="A127" s="13" t="s">
        <v>261</v>
      </c>
      <c r="B127" s="14">
        <v>5</v>
      </c>
      <c r="C127" s="14">
        <v>201</v>
      </c>
      <c r="D127" s="46" t="s">
        <v>262</v>
      </c>
      <c r="E127" s="15">
        <v>46195</v>
      </c>
      <c r="F127" s="15">
        <v>46213</v>
      </c>
      <c r="G127" s="1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>
      <c r="A128" s="13" t="s">
        <v>263</v>
      </c>
      <c r="B128" s="14">
        <v>5</v>
      </c>
      <c r="C128" s="14">
        <v>202</v>
      </c>
      <c r="D128" s="46" t="s">
        <v>264</v>
      </c>
      <c r="E128" s="15">
        <v>46204</v>
      </c>
      <c r="F128" s="15">
        <v>46213</v>
      </c>
      <c r="G128" s="1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>
      <c r="A129" s="13" t="s">
        <v>265</v>
      </c>
      <c r="B129" s="14">
        <v>5</v>
      </c>
      <c r="C129" s="14">
        <v>203</v>
      </c>
      <c r="D129" s="46" t="s">
        <v>266</v>
      </c>
      <c r="E129" s="15">
        <v>46216</v>
      </c>
      <c r="F129" s="15">
        <v>46227</v>
      </c>
      <c r="G129" s="1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>
      <c r="A130" s="13" t="s">
        <v>267</v>
      </c>
      <c r="B130" s="14">
        <v>5</v>
      </c>
      <c r="C130" s="14">
        <v>135</v>
      </c>
      <c r="D130" s="46" t="s">
        <v>268</v>
      </c>
      <c r="E130" s="15">
        <v>46230</v>
      </c>
      <c r="F130" s="15">
        <v>46248</v>
      </c>
      <c r="G130" s="1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>
      <c r="A131" s="13" t="s">
        <v>269</v>
      </c>
      <c r="B131" s="14">
        <v>5</v>
      </c>
      <c r="C131" s="14">
        <v>205</v>
      </c>
      <c r="D131" s="46" t="s">
        <v>270</v>
      </c>
      <c r="E131" s="15">
        <v>46252</v>
      </c>
      <c r="F131" s="15">
        <v>46262</v>
      </c>
      <c r="G131" s="1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>
      <c r="A132" s="13" t="s">
        <v>271</v>
      </c>
      <c r="B132" s="14">
        <v>5</v>
      </c>
      <c r="C132" s="14">
        <v>206</v>
      </c>
      <c r="D132" s="46" t="s">
        <v>272</v>
      </c>
      <c r="E132" s="15">
        <v>46265</v>
      </c>
      <c r="F132" s="15">
        <v>46311</v>
      </c>
      <c r="G132" s="1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>
      <c r="A133" s="13" t="s">
        <v>273</v>
      </c>
      <c r="B133" s="14">
        <v>5</v>
      </c>
      <c r="C133" s="14">
        <v>207</v>
      </c>
      <c r="D133" s="46" t="s">
        <v>274</v>
      </c>
      <c r="E133" s="15">
        <v>46296</v>
      </c>
      <c r="F133" s="15">
        <v>46311</v>
      </c>
      <c r="G133" s="1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>
      <c r="A134" s="21" t="s">
        <v>275</v>
      </c>
      <c r="B134" s="22">
        <v>6</v>
      </c>
      <c r="C134" s="22">
        <v>208</v>
      </c>
      <c r="D134" s="47" t="s">
        <v>276</v>
      </c>
      <c r="E134" s="23">
        <v>46314</v>
      </c>
      <c r="F134" s="23">
        <v>46325</v>
      </c>
      <c r="G134" s="2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>
      <c r="A135" s="9" t="s">
        <v>277</v>
      </c>
      <c r="B135" s="10">
        <v>3</v>
      </c>
      <c r="C135" s="10">
        <v>253</v>
      </c>
      <c r="D135" s="44" t="s">
        <v>278</v>
      </c>
      <c r="E135" s="11">
        <v>46202</v>
      </c>
      <c r="F135" s="11">
        <v>46283</v>
      </c>
      <c r="G135" s="1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>
      <c r="A136" s="13" t="s">
        <v>279</v>
      </c>
      <c r="B136" s="14">
        <v>5</v>
      </c>
      <c r="C136" s="14">
        <v>254</v>
      </c>
      <c r="D136" s="46" t="s">
        <v>280</v>
      </c>
      <c r="E136" s="15">
        <v>46202</v>
      </c>
      <c r="F136" s="15">
        <v>46219</v>
      </c>
      <c r="G136" s="1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>
      <c r="A137" s="13" t="s">
        <v>281</v>
      </c>
      <c r="B137" s="14">
        <v>5</v>
      </c>
      <c r="C137" s="14">
        <v>255</v>
      </c>
      <c r="D137" s="46" t="s">
        <v>282</v>
      </c>
      <c r="E137" s="15">
        <v>46223</v>
      </c>
      <c r="F137" s="15">
        <v>46234</v>
      </c>
      <c r="G137" s="1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>
      <c r="A138" s="13" t="s">
        <v>283</v>
      </c>
      <c r="B138" s="14">
        <v>5</v>
      </c>
      <c r="C138" s="14">
        <v>256</v>
      </c>
      <c r="D138" s="46" t="s">
        <v>284</v>
      </c>
      <c r="E138" s="15">
        <v>46237</v>
      </c>
      <c r="F138" s="15">
        <v>46255</v>
      </c>
      <c r="G138" s="1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>
      <c r="A139" s="13" t="s">
        <v>285</v>
      </c>
      <c r="B139" s="14">
        <v>5</v>
      </c>
      <c r="C139" s="14">
        <v>257</v>
      </c>
      <c r="D139" s="46" t="s">
        <v>286</v>
      </c>
      <c r="E139" s="15">
        <v>46258</v>
      </c>
      <c r="F139" s="15">
        <v>46269</v>
      </c>
      <c r="G139" s="1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>
      <c r="A140" s="13" t="s">
        <v>287</v>
      </c>
      <c r="B140" s="14">
        <v>5</v>
      </c>
      <c r="C140" s="14">
        <v>258</v>
      </c>
      <c r="D140" s="46" t="s">
        <v>288</v>
      </c>
      <c r="E140" s="15">
        <v>46272</v>
      </c>
      <c r="F140" s="15">
        <v>46283</v>
      </c>
      <c r="G140" s="1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>
      <c r="A141" s="9" t="s">
        <v>289</v>
      </c>
      <c r="B141" s="10">
        <v>3</v>
      </c>
      <c r="C141" s="10">
        <v>136</v>
      </c>
      <c r="D141" s="44" t="s">
        <v>290</v>
      </c>
      <c r="E141" s="11">
        <v>46296</v>
      </c>
      <c r="F141" s="11">
        <v>46325</v>
      </c>
      <c r="G141" s="1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>
      <c r="A142" s="13" t="s">
        <v>291</v>
      </c>
      <c r="B142" s="14">
        <v>5</v>
      </c>
      <c r="C142" s="14">
        <v>137</v>
      </c>
      <c r="D142" s="46" t="s">
        <v>292</v>
      </c>
      <c r="E142" s="15">
        <v>46296</v>
      </c>
      <c r="F142" s="15">
        <v>46303</v>
      </c>
      <c r="G142" s="1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>
      <c r="A143" s="13" t="s">
        <v>293</v>
      </c>
      <c r="B143" s="14">
        <v>5</v>
      </c>
      <c r="C143" s="14">
        <v>209</v>
      </c>
      <c r="D143" s="46" t="s">
        <v>294</v>
      </c>
      <c r="E143" s="15">
        <v>46307</v>
      </c>
      <c r="F143" s="15">
        <v>46311</v>
      </c>
      <c r="G143" s="1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>
      <c r="A144" s="13" t="s">
        <v>295</v>
      </c>
      <c r="B144" s="14">
        <v>5</v>
      </c>
      <c r="C144" s="14">
        <v>138</v>
      </c>
      <c r="D144" s="46" t="s">
        <v>296</v>
      </c>
      <c r="E144" s="15">
        <v>46314</v>
      </c>
      <c r="F144" s="15">
        <v>46318</v>
      </c>
      <c r="G144" s="1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>
      <c r="A145" s="13" t="s">
        <v>297</v>
      </c>
      <c r="B145" s="14">
        <v>5</v>
      </c>
      <c r="C145" s="14">
        <v>210</v>
      </c>
      <c r="D145" s="46" t="s">
        <v>298</v>
      </c>
      <c r="E145" s="15">
        <v>46321</v>
      </c>
      <c r="F145" s="15">
        <v>46325</v>
      </c>
      <c r="G145" s="1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>
      <c r="A146" s="9" t="s">
        <v>299</v>
      </c>
      <c r="B146" s="10">
        <v>3</v>
      </c>
      <c r="C146" s="10">
        <v>139</v>
      </c>
      <c r="D146" s="44" t="s">
        <v>300</v>
      </c>
      <c r="E146" s="11">
        <v>46314</v>
      </c>
      <c r="F146" s="11">
        <v>46325</v>
      </c>
      <c r="G146" s="1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>
      <c r="A147" s="13" t="s">
        <v>301</v>
      </c>
      <c r="B147" s="14">
        <v>5</v>
      </c>
      <c r="C147" s="14">
        <v>140</v>
      </c>
      <c r="D147" s="46" t="s">
        <v>302</v>
      </c>
      <c r="E147" s="15">
        <v>46314</v>
      </c>
      <c r="F147" s="15">
        <v>46315</v>
      </c>
      <c r="G147" s="16" t="s">
        <v>303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>
      <c r="A148" s="13" t="s">
        <v>304</v>
      </c>
      <c r="B148" s="14">
        <v>5</v>
      </c>
      <c r="C148" s="14">
        <v>141</v>
      </c>
      <c r="D148" s="46" t="s">
        <v>305</v>
      </c>
      <c r="E148" s="15">
        <v>46314</v>
      </c>
      <c r="F148" s="15">
        <v>46315</v>
      </c>
      <c r="G148" s="16" t="s">
        <v>306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>
      <c r="A149" s="13" t="s">
        <v>307</v>
      </c>
      <c r="B149" s="14">
        <v>5</v>
      </c>
      <c r="C149" s="14">
        <v>142</v>
      </c>
      <c r="D149" s="46" t="s">
        <v>308</v>
      </c>
      <c r="E149" s="15">
        <v>46316</v>
      </c>
      <c r="F149" s="15">
        <v>46318</v>
      </c>
      <c r="G149" s="1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>
      <c r="A150" s="13" t="s">
        <v>309</v>
      </c>
      <c r="B150" s="14">
        <v>5</v>
      </c>
      <c r="C150" s="14">
        <v>143</v>
      </c>
      <c r="D150" s="46" t="s">
        <v>310</v>
      </c>
      <c r="E150" s="15">
        <v>46321</v>
      </c>
      <c r="F150" s="15">
        <v>46325</v>
      </c>
      <c r="G150" s="1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>
      <c r="A151" s="13" t="s">
        <v>311</v>
      </c>
      <c r="B151" s="14">
        <v>5</v>
      </c>
      <c r="C151" s="14">
        <v>187</v>
      </c>
      <c r="D151" s="46" t="s">
        <v>312</v>
      </c>
      <c r="E151" s="15">
        <v>46321</v>
      </c>
      <c r="F151" s="15">
        <v>46325</v>
      </c>
      <c r="G151" s="1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>
      <c r="A152" s="13" t="s">
        <v>313</v>
      </c>
      <c r="B152" s="14">
        <v>5</v>
      </c>
      <c r="C152" s="14">
        <v>188</v>
      </c>
      <c r="D152" s="46" t="s">
        <v>314</v>
      </c>
      <c r="E152" s="15">
        <v>46321</v>
      </c>
      <c r="F152" s="15">
        <v>46325</v>
      </c>
      <c r="G152" s="1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>
      <c r="A153" s="5" t="s">
        <v>315</v>
      </c>
      <c r="B153" s="6">
        <v>1</v>
      </c>
      <c r="C153" s="6">
        <v>144</v>
      </c>
      <c r="D153" s="6" t="s">
        <v>316</v>
      </c>
      <c r="E153" s="7">
        <v>46296</v>
      </c>
      <c r="F153" s="7">
        <v>46633</v>
      </c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>
      <c r="A154" s="9" t="s">
        <v>317</v>
      </c>
      <c r="B154" s="10">
        <v>3</v>
      </c>
      <c r="C154" s="10">
        <v>145</v>
      </c>
      <c r="D154" s="44" t="s">
        <v>318</v>
      </c>
      <c r="E154" s="11">
        <v>46328</v>
      </c>
      <c r="F154" s="11">
        <v>46598</v>
      </c>
      <c r="G154" s="1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>
      <c r="A155" s="13" t="s">
        <v>319</v>
      </c>
      <c r="B155" s="14">
        <v>5</v>
      </c>
      <c r="C155" s="14">
        <v>146</v>
      </c>
      <c r="D155" s="46" t="s">
        <v>320</v>
      </c>
      <c r="E155" s="15">
        <v>46328</v>
      </c>
      <c r="F155" s="15">
        <v>46437</v>
      </c>
      <c r="G155" s="1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>
      <c r="A156" s="13" t="s">
        <v>321</v>
      </c>
      <c r="B156" s="14">
        <v>5</v>
      </c>
      <c r="C156" s="14">
        <v>211</v>
      </c>
      <c r="D156" s="46" t="s">
        <v>322</v>
      </c>
      <c r="E156" s="15">
        <v>46440</v>
      </c>
      <c r="F156" s="15">
        <v>46598</v>
      </c>
      <c r="G156" s="1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>
      <c r="A157" s="9" t="s">
        <v>323</v>
      </c>
      <c r="B157" s="10">
        <v>3</v>
      </c>
      <c r="C157" s="10">
        <v>148</v>
      </c>
      <c r="D157" s="44" t="s">
        <v>324</v>
      </c>
      <c r="E157" s="11">
        <v>46328</v>
      </c>
      <c r="F157" s="11">
        <v>46598</v>
      </c>
      <c r="G157" s="1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>
      <c r="A158" s="13" t="s">
        <v>325</v>
      </c>
      <c r="B158" s="14">
        <v>5</v>
      </c>
      <c r="C158" s="14">
        <v>149</v>
      </c>
      <c r="D158" s="46" t="s">
        <v>326</v>
      </c>
      <c r="E158" s="15">
        <v>46328</v>
      </c>
      <c r="F158" s="15">
        <v>46437</v>
      </c>
      <c r="G158" s="1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>
      <c r="A159" s="13" t="s">
        <v>327</v>
      </c>
      <c r="B159" s="14">
        <v>5</v>
      </c>
      <c r="C159" s="14">
        <v>212</v>
      </c>
      <c r="D159" s="46" t="s">
        <v>328</v>
      </c>
      <c r="E159" s="15">
        <v>46440</v>
      </c>
      <c r="F159" s="15">
        <v>46598</v>
      </c>
      <c r="G159" s="1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>
      <c r="A160" s="13" t="s">
        <v>329</v>
      </c>
      <c r="B160" s="14">
        <v>5</v>
      </c>
      <c r="C160" s="14">
        <v>150</v>
      </c>
      <c r="D160" s="46" t="s">
        <v>330</v>
      </c>
      <c r="E160" s="15">
        <v>46328</v>
      </c>
      <c r="F160" s="15">
        <v>46437</v>
      </c>
      <c r="G160" s="1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>
      <c r="A161" s="13" t="s">
        <v>331</v>
      </c>
      <c r="B161" s="14">
        <v>5</v>
      </c>
      <c r="C161" s="14">
        <v>213</v>
      </c>
      <c r="D161" s="46" t="s">
        <v>332</v>
      </c>
      <c r="E161" s="15">
        <v>46440</v>
      </c>
      <c r="F161" s="15">
        <v>46598</v>
      </c>
      <c r="G161" s="1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>
      <c r="A162" s="13" t="s">
        <v>333</v>
      </c>
      <c r="B162" s="14">
        <v>5</v>
      </c>
      <c r="C162" s="14">
        <v>151</v>
      </c>
      <c r="D162" s="46" t="s">
        <v>334</v>
      </c>
      <c r="E162" s="15">
        <v>46328</v>
      </c>
      <c r="F162" s="15">
        <v>46437</v>
      </c>
      <c r="G162" s="1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>
      <c r="A163" s="13" t="s">
        <v>335</v>
      </c>
      <c r="B163" s="14">
        <v>5</v>
      </c>
      <c r="C163" s="14">
        <v>214</v>
      </c>
      <c r="D163" s="46" t="s">
        <v>336</v>
      </c>
      <c r="E163" s="15">
        <v>46440</v>
      </c>
      <c r="F163" s="15">
        <v>46598</v>
      </c>
      <c r="G163" s="1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>
      <c r="A164" s="9" t="s">
        <v>337</v>
      </c>
      <c r="B164" s="10">
        <v>3</v>
      </c>
      <c r="C164" s="10">
        <v>152</v>
      </c>
      <c r="D164" s="44" t="s">
        <v>338</v>
      </c>
      <c r="E164" s="11">
        <v>46296</v>
      </c>
      <c r="F164" s="11">
        <v>46387</v>
      </c>
      <c r="G164" s="1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>
      <c r="A165" s="13" t="s">
        <v>339</v>
      </c>
      <c r="B165" s="14">
        <v>5</v>
      </c>
      <c r="C165" s="14">
        <v>153</v>
      </c>
      <c r="D165" s="46" t="s">
        <v>340</v>
      </c>
      <c r="E165" s="15">
        <v>46296</v>
      </c>
      <c r="F165" s="15">
        <v>46311</v>
      </c>
      <c r="G165" s="1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>
      <c r="A166" s="13" t="s">
        <v>341</v>
      </c>
      <c r="B166" s="14">
        <v>5</v>
      </c>
      <c r="C166" s="14">
        <v>215</v>
      </c>
      <c r="D166" s="46" t="s">
        <v>342</v>
      </c>
      <c r="E166" s="15">
        <v>46314</v>
      </c>
      <c r="F166" s="15">
        <v>46325</v>
      </c>
      <c r="G166" s="1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>
      <c r="A167" s="13" t="s">
        <v>343</v>
      </c>
      <c r="B167" s="14">
        <v>5</v>
      </c>
      <c r="C167" s="14">
        <v>216</v>
      </c>
      <c r="D167" s="46" t="s">
        <v>344</v>
      </c>
      <c r="E167" s="15">
        <v>46328</v>
      </c>
      <c r="F167" s="15">
        <v>46367</v>
      </c>
      <c r="G167" s="1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>
      <c r="A168" s="13" t="s">
        <v>345</v>
      </c>
      <c r="B168" s="14">
        <v>5</v>
      </c>
      <c r="C168" s="14">
        <v>217</v>
      </c>
      <c r="D168" s="46" t="s">
        <v>346</v>
      </c>
      <c r="E168" s="15">
        <v>46357</v>
      </c>
      <c r="F168" s="15">
        <v>46367</v>
      </c>
      <c r="G168" s="1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>
      <c r="A169" s="13" t="s">
        <v>347</v>
      </c>
      <c r="B169" s="14">
        <v>5</v>
      </c>
      <c r="C169" s="14">
        <v>218</v>
      </c>
      <c r="D169" s="46" t="s">
        <v>348</v>
      </c>
      <c r="E169" s="15">
        <v>46370</v>
      </c>
      <c r="F169" s="15">
        <v>46387</v>
      </c>
      <c r="G169" s="1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>
      <c r="A170" s="9" t="s">
        <v>349</v>
      </c>
      <c r="B170" s="10">
        <v>3</v>
      </c>
      <c r="C170" s="10">
        <v>154</v>
      </c>
      <c r="D170" s="44" t="s">
        <v>350</v>
      </c>
      <c r="E170" s="11">
        <v>46357</v>
      </c>
      <c r="F170" s="11">
        <v>46465</v>
      </c>
      <c r="G170" s="1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>
      <c r="A171" s="13" t="s">
        <v>351</v>
      </c>
      <c r="B171" s="14">
        <v>5</v>
      </c>
      <c r="C171" s="14">
        <v>155</v>
      </c>
      <c r="D171" s="46" t="s">
        <v>352</v>
      </c>
      <c r="E171" s="15">
        <v>46357</v>
      </c>
      <c r="F171" s="15">
        <v>46367</v>
      </c>
      <c r="G171" s="1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>
      <c r="A172" s="13" t="s">
        <v>353</v>
      </c>
      <c r="B172" s="14">
        <v>5</v>
      </c>
      <c r="C172" s="14">
        <v>219</v>
      </c>
      <c r="D172" s="46" t="s">
        <v>354</v>
      </c>
      <c r="E172" s="15">
        <v>46370</v>
      </c>
      <c r="F172" s="15">
        <v>46380</v>
      </c>
      <c r="G172" s="1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>
      <c r="A173" s="13" t="s">
        <v>355</v>
      </c>
      <c r="B173" s="14">
        <v>5</v>
      </c>
      <c r="C173" s="14">
        <v>220</v>
      </c>
      <c r="D173" s="46" t="s">
        <v>356</v>
      </c>
      <c r="E173" s="15">
        <v>46384</v>
      </c>
      <c r="F173" s="15">
        <v>46444</v>
      </c>
      <c r="G173" s="1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>
      <c r="A174" s="13" t="s">
        <v>357</v>
      </c>
      <c r="B174" s="14">
        <v>5</v>
      </c>
      <c r="C174" s="14">
        <v>221</v>
      </c>
      <c r="D174" s="46" t="s">
        <v>358</v>
      </c>
      <c r="E174" s="15">
        <v>46419</v>
      </c>
      <c r="F174" s="15">
        <v>46451</v>
      </c>
      <c r="G174" s="1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>
      <c r="A175" s="13" t="s">
        <v>359</v>
      </c>
      <c r="B175" s="14">
        <v>5</v>
      </c>
      <c r="C175" s="14">
        <v>222</v>
      </c>
      <c r="D175" s="46" t="s">
        <v>360</v>
      </c>
      <c r="E175" s="15">
        <v>46454</v>
      </c>
      <c r="F175" s="15">
        <v>46465</v>
      </c>
      <c r="G175" s="1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>
      <c r="A176" s="9" t="s">
        <v>361</v>
      </c>
      <c r="B176" s="10">
        <v>3</v>
      </c>
      <c r="C176" s="10">
        <v>248</v>
      </c>
      <c r="D176" s="44" t="s">
        <v>362</v>
      </c>
      <c r="E176" s="11">
        <v>46328</v>
      </c>
      <c r="F176" s="11">
        <v>46430</v>
      </c>
      <c r="G176" s="1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>
      <c r="A177" s="13" t="s">
        <v>363</v>
      </c>
      <c r="B177" s="14">
        <v>5</v>
      </c>
      <c r="C177" s="14">
        <v>249</v>
      </c>
      <c r="D177" s="46" t="s">
        <v>364</v>
      </c>
      <c r="E177" s="15">
        <v>46328</v>
      </c>
      <c r="F177" s="15">
        <v>46339</v>
      </c>
      <c r="G177" s="1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>
      <c r="A178" s="13" t="s">
        <v>365</v>
      </c>
      <c r="B178" s="14">
        <v>5</v>
      </c>
      <c r="C178" s="14">
        <v>250</v>
      </c>
      <c r="D178" s="46" t="s">
        <v>366</v>
      </c>
      <c r="E178" s="15">
        <v>46342</v>
      </c>
      <c r="F178" s="15">
        <v>46353</v>
      </c>
      <c r="G178" s="1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>
      <c r="A179" s="13" t="s">
        <v>367</v>
      </c>
      <c r="B179" s="14">
        <v>5</v>
      </c>
      <c r="C179" s="14">
        <v>251</v>
      </c>
      <c r="D179" s="46" t="s">
        <v>368</v>
      </c>
      <c r="E179" s="15">
        <v>46356</v>
      </c>
      <c r="F179" s="15">
        <v>46387</v>
      </c>
      <c r="G179" s="1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>
      <c r="A180" s="13" t="s">
        <v>369</v>
      </c>
      <c r="B180" s="14">
        <v>5</v>
      </c>
      <c r="C180" s="14">
        <v>252</v>
      </c>
      <c r="D180" s="46" t="s">
        <v>370</v>
      </c>
      <c r="E180" s="15">
        <v>46391</v>
      </c>
      <c r="F180" s="15">
        <v>46409</v>
      </c>
      <c r="G180" s="1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>
      <c r="A181" s="13" t="s">
        <v>371</v>
      </c>
      <c r="B181" s="14">
        <v>5</v>
      </c>
      <c r="C181" s="14">
        <v>259</v>
      </c>
      <c r="D181" s="46" t="s">
        <v>372</v>
      </c>
      <c r="E181" s="15">
        <v>46412</v>
      </c>
      <c r="F181" s="15">
        <v>46430</v>
      </c>
      <c r="G181" s="1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>
      <c r="A182" s="9" t="s">
        <v>373</v>
      </c>
      <c r="B182" s="10">
        <v>3</v>
      </c>
      <c r="C182" s="10">
        <v>156</v>
      </c>
      <c r="D182" s="44" t="s">
        <v>374</v>
      </c>
      <c r="E182" s="11">
        <v>46419</v>
      </c>
      <c r="F182" s="11">
        <v>46444</v>
      </c>
      <c r="G182" s="1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>
      <c r="A183" s="13" t="s">
        <v>375</v>
      </c>
      <c r="B183" s="14">
        <v>5</v>
      </c>
      <c r="C183" s="14">
        <v>157</v>
      </c>
      <c r="D183" s="46" t="s">
        <v>376</v>
      </c>
      <c r="E183" s="15">
        <v>46419</v>
      </c>
      <c r="F183" s="15">
        <v>46423</v>
      </c>
      <c r="G183" s="1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>
      <c r="A184" s="13" t="s">
        <v>377</v>
      </c>
      <c r="B184" s="14">
        <v>5</v>
      </c>
      <c r="C184" s="14">
        <v>223</v>
      </c>
      <c r="D184" s="46" t="s">
        <v>378</v>
      </c>
      <c r="E184" s="15">
        <v>46428</v>
      </c>
      <c r="F184" s="15">
        <v>46430</v>
      </c>
      <c r="G184" s="1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>
      <c r="A185" s="13" t="s">
        <v>379</v>
      </c>
      <c r="B185" s="14">
        <v>5</v>
      </c>
      <c r="C185" s="14">
        <v>224</v>
      </c>
      <c r="D185" s="46" t="s">
        <v>374</v>
      </c>
      <c r="E185" s="15">
        <v>46433</v>
      </c>
      <c r="F185" s="15">
        <v>46437</v>
      </c>
      <c r="G185" s="1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>
      <c r="A186" s="13" t="s">
        <v>380</v>
      </c>
      <c r="B186" s="14">
        <v>5</v>
      </c>
      <c r="C186" s="14">
        <v>225</v>
      </c>
      <c r="D186" s="46" t="s">
        <v>381</v>
      </c>
      <c r="E186" s="15">
        <v>46440</v>
      </c>
      <c r="F186" s="15">
        <v>46444</v>
      </c>
      <c r="G186" s="1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>
      <c r="A187" s="13" t="s">
        <v>382</v>
      </c>
      <c r="B187" s="14">
        <v>5</v>
      </c>
      <c r="C187" s="14">
        <v>226</v>
      </c>
      <c r="D187" s="46" t="s">
        <v>383</v>
      </c>
      <c r="E187" s="15">
        <v>46440</v>
      </c>
      <c r="F187" s="15">
        <v>46444</v>
      </c>
      <c r="G187" s="1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>
      <c r="A188" s="13" t="s">
        <v>384</v>
      </c>
      <c r="B188" s="14">
        <v>5</v>
      </c>
      <c r="C188" s="14">
        <v>158</v>
      </c>
      <c r="D188" s="46" t="s">
        <v>385</v>
      </c>
      <c r="E188" s="15">
        <v>46419</v>
      </c>
      <c r="F188" s="15">
        <v>46423</v>
      </c>
      <c r="G188" s="1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>
      <c r="A189" s="13" t="s">
        <v>386</v>
      </c>
      <c r="B189" s="14">
        <v>5</v>
      </c>
      <c r="C189" s="14">
        <v>227</v>
      </c>
      <c r="D189" s="46" t="s">
        <v>387</v>
      </c>
      <c r="E189" s="15">
        <v>46428</v>
      </c>
      <c r="F189" s="15">
        <v>46430</v>
      </c>
      <c r="G189" s="1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>
      <c r="A190" s="13" t="s">
        <v>388</v>
      </c>
      <c r="B190" s="14">
        <v>5</v>
      </c>
      <c r="C190" s="14">
        <v>228</v>
      </c>
      <c r="D190" s="46" t="s">
        <v>389</v>
      </c>
      <c r="E190" s="15">
        <v>46433</v>
      </c>
      <c r="F190" s="15">
        <v>46437</v>
      </c>
      <c r="G190" s="1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>
      <c r="A191" s="13" t="s">
        <v>390</v>
      </c>
      <c r="B191" s="14">
        <v>5</v>
      </c>
      <c r="C191" s="14">
        <v>229</v>
      </c>
      <c r="D191" s="46" t="s">
        <v>391</v>
      </c>
      <c r="E191" s="15">
        <v>46440</v>
      </c>
      <c r="F191" s="15">
        <v>46444</v>
      </c>
      <c r="G191" s="1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>
      <c r="A192" s="9" t="s">
        <v>392</v>
      </c>
      <c r="B192" s="10">
        <v>3</v>
      </c>
      <c r="C192" s="10">
        <v>159</v>
      </c>
      <c r="D192" s="44" t="s">
        <v>393</v>
      </c>
      <c r="E192" s="11">
        <v>46448</v>
      </c>
      <c r="F192" s="11">
        <v>46535</v>
      </c>
      <c r="G192" s="1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>
      <c r="A193" s="13" t="s">
        <v>394</v>
      </c>
      <c r="B193" s="14">
        <v>5</v>
      </c>
      <c r="C193" s="14">
        <v>160</v>
      </c>
      <c r="D193" s="46" t="s">
        <v>395</v>
      </c>
      <c r="E193" s="15">
        <v>46448</v>
      </c>
      <c r="F193" s="15">
        <v>46458</v>
      </c>
      <c r="G193" s="1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>
      <c r="A194" s="13" t="s">
        <v>396</v>
      </c>
      <c r="B194" s="14">
        <v>5</v>
      </c>
      <c r="C194" s="14">
        <v>230</v>
      </c>
      <c r="D194" s="46" t="s">
        <v>397</v>
      </c>
      <c r="E194" s="15">
        <v>46461</v>
      </c>
      <c r="F194" s="15">
        <v>46472</v>
      </c>
      <c r="G194" s="1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>
      <c r="A195" s="13" t="s">
        <v>398</v>
      </c>
      <c r="B195" s="14">
        <v>5</v>
      </c>
      <c r="C195" s="14">
        <v>231</v>
      </c>
      <c r="D195" s="46" t="s">
        <v>393</v>
      </c>
      <c r="E195" s="15">
        <v>46475</v>
      </c>
      <c r="F195" s="15">
        <v>46493</v>
      </c>
      <c r="G195" s="1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>
      <c r="A196" s="13" t="s">
        <v>399</v>
      </c>
      <c r="B196" s="14">
        <v>5</v>
      </c>
      <c r="C196" s="14">
        <v>232</v>
      </c>
      <c r="D196" s="46" t="s">
        <v>400</v>
      </c>
      <c r="E196" s="15">
        <v>46496</v>
      </c>
      <c r="F196" s="15">
        <v>46521</v>
      </c>
      <c r="G196" s="1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>
      <c r="A197" s="13" t="s">
        <v>401</v>
      </c>
      <c r="B197" s="14">
        <v>5</v>
      </c>
      <c r="C197" s="14">
        <v>233</v>
      </c>
      <c r="D197" s="46" t="s">
        <v>402</v>
      </c>
      <c r="E197" s="15">
        <v>46524</v>
      </c>
      <c r="F197" s="15">
        <v>46535</v>
      </c>
      <c r="G197" s="1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>
      <c r="A198" s="9" t="s">
        <v>403</v>
      </c>
      <c r="B198" s="10">
        <v>3</v>
      </c>
      <c r="C198" s="10">
        <v>161</v>
      </c>
      <c r="D198" s="44" t="s">
        <v>404</v>
      </c>
      <c r="E198" s="11">
        <v>46419</v>
      </c>
      <c r="F198" s="11">
        <v>46598</v>
      </c>
      <c r="G198" s="1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>
      <c r="A199" s="13" t="s">
        <v>405</v>
      </c>
      <c r="B199" s="14">
        <v>5</v>
      </c>
      <c r="C199" s="14">
        <v>162</v>
      </c>
      <c r="D199" s="46" t="s">
        <v>406</v>
      </c>
      <c r="E199" s="15">
        <v>46419</v>
      </c>
      <c r="F199" s="15">
        <v>46437</v>
      </c>
      <c r="G199" s="16" t="s">
        <v>407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>
      <c r="A200" s="13" t="s">
        <v>408</v>
      </c>
      <c r="B200" s="14">
        <v>5</v>
      </c>
      <c r="C200" s="14">
        <v>163</v>
      </c>
      <c r="D200" s="46" t="s">
        <v>409</v>
      </c>
      <c r="E200" s="15">
        <v>46419</v>
      </c>
      <c r="F200" s="15">
        <v>46437</v>
      </c>
      <c r="G200" s="1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>
      <c r="A201" s="13" t="s">
        <v>410</v>
      </c>
      <c r="B201" s="14">
        <v>5</v>
      </c>
      <c r="C201" s="14">
        <v>164</v>
      </c>
      <c r="D201" s="46" t="s">
        <v>411</v>
      </c>
      <c r="E201" s="15">
        <v>46440</v>
      </c>
      <c r="F201" s="15">
        <v>46598</v>
      </c>
      <c r="G201" s="1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>
      <c r="A202" s="9" t="s">
        <v>412</v>
      </c>
      <c r="B202" s="10">
        <v>3</v>
      </c>
      <c r="C202" s="10">
        <v>165</v>
      </c>
      <c r="D202" s="44" t="s">
        <v>413</v>
      </c>
      <c r="E202" s="11">
        <v>46448</v>
      </c>
      <c r="F202" s="11">
        <v>46633</v>
      </c>
      <c r="G202" s="1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>
      <c r="A203" s="13" t="s">
        <v>414</v>
      </c>
      <c r="B203" s="14">
        <v>5</v>
      </c>
      <c r="C203" s="14">
        <v>166</v>
      </c>
      <c r="D203" s="46" t="s">
        <v>415</v>
      </c>
      <c r="E203" s="15">
        <v>46448</v>
      </c>
      <c r="F203" s="15">
        <v>46472</v>
      </c>
      <c r="G203" s="1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>
      <c r="A204" s="13" t="s">
        <v>416</v>
      </c>
      <c r="B204" s="14">
        <v>5</v>
      </c>
      <c r="C204" s="14">
        <v>182</v>
      </c>
      <c r="D204" s="46" t="s">
        <v>417</v>
      </c>
      <c r="E204" s="15">
        <v>46482</v>
      </c>
      <c r="F204" s="15">
        <v>46507</v>
      </c>
      <c r="G204" s="1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>
      <c r="A205" s="13" t="s">
        <v>418</v>
      </c>
      <c r="B205" s="14">
        <v>5</v>
      </c>
      <c r="C205" s="14">
        <v>183</v>
      </c>
      <c r="D205" s="46" t="s">
        <v>419</v>
      </c>
      <c r="E205" s="15">
        <v>46510</v>
      </c>
      <c r="F205" s="15">
        <v>46535</v>
      </c>
      <c r="G205" s="1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>
      <c r="A206" s="13" t="s">
        <v>420</v>
      </c>
      <c r="B206" s="14">
        <v>5</v>
      </c>
      <c r="C206" s="14">
        <v>184</v>
      </c>
      <c r="D206" s="46" t="s">
        <v>421</v>
      </c>
      <c r="E206" s="15">
        <v>46538</v>
      </c>
      <c r="F206" s="15">
        <v>46563</v>
      </c>
      <c r="G206" s="1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>
      <c r="A207" s="13" t="s">
        <v>422</v>
      </c>
      <c r="B207" s="14">
        <v>5</v>
      </c>
      <c r="C207" s="14">
        <v>185</v>
      </c>
      <c r="D207" s="46" t="s">
        <v>423</v>
      </c>
      <c r="E207" s="15">
        <v>46566</v>
      </c>
      <c r="F207" s="15">
        <v>46591</v>
      </c>
      <c r="G207" s="1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>
      <c r="A208" s="13" t="s">
        <v>424</v>
      </c>
      <c r="B208" s="14">
        <v>5</v>
      </c>
      <c r="C208" s="14">
        <v>167</v>
      </c>
      <c r="D208" s="46" t="s">
        <v>425</v>
      </c>
      <c r="E208" s="15">
        <v>46538</v>
      </c>
      <c r="F208" s="15">
        <v>46563</v>
      </c>
      <c r="G208" s="1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>
      <c r="A209" s="13" t="s">
        <v>426</v>
      </c>
      <c r="B209" s="14">
        <v>5</v>
      </c>
      <c r="C209" s="14">
        <v>186</v>
      </c>
      <c r="D209" s="46" t="s">
        <v>427</v>
      </c>
      <c r="E209" s="15">
        <v>46566</v>
      </c>
      <c r="F209" s="15">
        <v>46591</v>
      </c>
      <c r="G209" s="1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>
      <c r="A210" s="13" t="s">
        <v>428</v>
      </c>
      <c r="B210" s="14">
        <v>5</v>
      </c>
      <c r="C210" s="14">
        <v>168</v>
      </c>
      <c r="D210" s="46" t="s">
        <v>429</v>
      </c>
      <c r="E210" s="15">
        <v>46601</v>
      </c>
      <c r="F210" s="15">
        <v>46633</v>
      </c>
      <c r="G210" s="1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>
      <c r="A211" s="21" t="s">
        <v>430</v>
      </c>
      <c r="B211" s="22">
        <v>4</v>
      </c>
      <c r="C211" s="22">
        <v>169</v>
      </c>
      <c r="D211" s="45" t="s">
        <v>431</v>
      </c>
      <c r="E211" s="23">
        <v>46448</v>
      </c>
      <c r="F211" s="23">
        <v>46584</v>
      </c>
      <c r="G211" s="2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>
      <c r="A212" s="21" t="s">
        <v>432</v>
      </c>
      <c r="B212" s="22">
        <v>6</v>
      </c>
      <c r="C212" s="22">
        <v>170</v>
      </c>
      <c r="D212" s="47" t="s">
        <v>433</v>
      </c>
      <c r="E212" s="23">
        <v>46448</v>
      </c>
      <c r="F212" s="23">
        <v>46458</v>
      </c>
      <c r="G212" s="24" t="s">
        <v>434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>
      <c r="A213" s="21" t="s">
        <v>435</v>
      </c>
      <c r="B213" s="22">
        <v>6</v>
      </c>
      <c r="C213" s="22">
        <v>234</v>
      </c>
      <c r="D213" s="47" t="s">
        <v>436</v>
      </c>
      <c r="E213" s="23">
        <v>46461</v>
      </c>
      <c r="F213" s="23">
        <v>46479</v>
      </c>
      <c r="G213" s="2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>
      <c r="A214" s="21" t="s">
        <v>437</v>
      </c>
      <c r="B214" s="22">
        <v>6</v>
      </c>
      <c r="C214" s="22">
        <v>235</v>
      </c>
      <c r="D214" s="47" t="s">
        <v>438</v>
      </c>
      <c r="E214" s="23">
        <v>46475</v>
      </c>
      <c r="F214" s="23">
        <v>46479</v>
      </c>
      <c r="G214" s="2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>
      <c r="A215" s="21" t="s">
        <v>439</v>
      </c>
      <c r="B215" s="22">
        <v>6</v>
      </c>
      <c r="C215" s="22">
        <v>236</v>
      </c>
      <c r="D215" s="47" t="s">
        <v>440</v>
      </c>
      <c r="E215" s="23">
        <v>46482</v>
      </c>
      <c r="F215" s="23">
        <v>46507</v>
      </c>
      <c r="G215" s="2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>
      <c r="A216" s="21" t="s">
        <v>441</v>
      </c>
      <c r="B216" s="22">
        <v>6</v>
      </c>
      <c r="C216" s="22">
        <v>237</v>
      </c>
      <c r="D216" s="47" t="s">
        <v>442</v>
      </c>
      <c r="E216" s="23">
        <v>46510</v>
      </c>
      <c r="F216" s="23">
        <v>46521</v>
      </c>
      <c r="G216" s="24" t="s">
        <v>443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>
      <c r="A217" s="21" t="s">
        <v>444</v>
      </c>
      <c r="B217" s="22">
        <v>6</v>
      </c>
      <c r="C217" s="22">
        <v>171</v>
      </c>
      <c r="D217" s="47" t="s">
        <v>445</v>
      </c>
      <c r="E217" s="23">
        <v>46496</v>
      </c>
      <c r="F217" s="23">
        <v>46507</v>
      </c>
      <c r="G217" s="24" t="s">
        <v>434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>
      <c r="A218" s="21" t="s">
        <v>446</v>
      </c>
      <c r="B218" s="22">
        <v>6</v>
      </c>
      <c r="C218" s="22">
        <v>238</v>
      </c>
      <c r="D218" s="47" t="s">
        <v>447</v>
      </c>
      <c r="E218" s="23">
        <v>46510</v>
      </c>
      <c r="F218" s="23">
        <v>46521</v>
      </c>
      <c r="G218" s="2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>
      <c r="A219" s="21" t="s">
        <v>448</v>
      </c>
      <c r="B219" s="22">
        <v>6</v>
      </c>
      <c r="C219" s="22">
        <v>239</v>
      </c>
      <c r="D219" s="47" t="s">
        <v>449</v>
      </c>
      <c r="E219" s="23">
        <v>46524</v>
      </c>
      <c r="F219" s="23">
        <v>46542</v>
      </c>
      <c r="G219" s="2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>
      <c r="A220" s="21" t="s">
        <v>450</v>
      </c>
      <c r="B220" s="22">
        <v>6</v>
      </c>
      <c r="C220" s="22">
        <v>240</v>
      </c>
      <c r="D220" s="47" t="s">
        <v>451</v>
      </c>
      <c r="E220" s="23">
        <v>46545</v>
      </c>
      <c r="F220" s="23">
        <v>46556</v>
      </c>
      <c r="G220" s="24" t="s">
        <v>452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>
      <c r="A221" s="17" t="s">
        <v>453</v>
      </c>
      <c r="B221" s="18">
        <v>7</v>
      </c>
      <c r="C221" s="18">
        <v>172</v>
      </c>
      <c r="D221" s="49" t="s">
        <v>454</v>
      </c>
      <c r="E221" s="19">
        <v>46517</v>
      </c>
      <c r="F221" s="19">
        <v>46528</v>
      </c>
      <c r="G221" s="20" t="s">
        <v>434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>
      <c r="A222" s="17" t="s">
        <v>455</v>
      </c>
      <c r="B222" s="18">
        <v>7</v>
      </c>
      <c r="C222" s="18">
        <v>241</v>
      </c>
      <c r="D222" s="49" t="s">
        <v>456</v>
      </c>
      <c r="E222" s="19">
        <v>46531</v>
      </c>
      <c r="F222" s="19">
        <v>46542</v>
      </c>
      <c r="G222" s="2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>
      <c r="A223" s="17" t="s">
        <v>457</v>
      </c>
      <c r="B223" s="18">
        <v>7</v>
      </c>
      <c r="C223" s="18">
        <v>242</v>
      </c>
      <c r="D223" s="49" t="s">
        <v>458</v>
      </c>
      <c r="E223" s="19">
        <v>46545</v>
      </c>
      <c r="F223" s="19">
        <v>46556</v>
      </c>
      <c r="G223" s="2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>
      <c r="A224" s="17" t="s">
        <v>459</v>
      </c>
      <c r="B224" s="18">
        <v>7</v>
      </c>
      <c r="C224" s="18">
        <v>243</v>
      </c>
      <c r="D224" s="49" t="s">
        <v>460</v>
      </c>
      <c r="E224" s="19">
        <v>46559</v>
      </c>
      <c r="F224" s="19">
        <v>46570</v>
      </c>
      <c r="G224" s="2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>
      <c r="A225" s="17" t="s">
        <v>461</v>
      </c>
      <c r="B225" s="18">
        <v>7</v>
      </c>
      <c r="C225" s="18">
        <v>244</v>
      </c>
      <c r="D225" s="49" t="s">
        <v>462</v>
      </c>
      <c r="E225" s="19">
        <v>46573</v>
      </c>
      <c r="F225" s="19">
        <v>46584</v>
      </c>
      <c r="G225" s="20" t="s">
        <v>463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>
      <c r="A226" s="21" t="s">
        <v>464</v>
      </c>
      <c r="B226" s="22">
        <v>4</v>
      </c>
      <c r="C226" s="22">
        <v>173</v>
      </c>
      <c r="D226" s="45" t="s">
        <v>300</v>
      </c>
      <c r="E226" s="23">
        <v>46587</v>
      </c>
      <c r="F226" s="23">
        <v>46598</v>
      </c>
      <c r="G226" s="2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>
      <c r="A227" s="21" t="s">
        <v>465</v>
      </c>
      <c r="B227" s="22">
        <v>6</v>
      </c>
      <c r="C227" s="22">
        <v>174</v>
      </c>
      <c r="D227" s="47" t="s">
        <v>302</v>
      </c>
      <c r="E227" s="23">
        <v>46587</v>
      </c>
      <c r="F227" s="23">
        <v>46588</v>
      </c>
      <c r="G227" s="24" t="s">
        <v>303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>
      <c r="A228" s="21" t="s">
        <v>466</v>
      </c>
      <c r="B228" s="22">
        <v>6</v>
      </c>
      <c r="C228" s="22">
        <v>175</v>
      </c>
      <c r="D228" s="47" t="s">
        <v>305</v>
      </c>
      <c r="E228" s="23">
        <v>46587</v>
      </c>
      <c r="F228" s="23">
        <v>46588</v>
      </c>
      <c r="G228" s="24" t="s">
        <v>306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>
      <c r="A229" s="21" t="s">
        <v>467</v>
      </c>
      <c r="B229" s="22">
        <v>6</v>
      </c>
      <c r="C229" s="22">
        <v>176</v>
      </c>
      <c r="D229" s="47" t="s">
        <v>308</v>
      </c>
      <c r="E229" s="23">
        <v>46589</v>
      </c>
      <c r="F229" s="23">
        <v>46591</v>
      </c>
      <c r="G229" s="2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>
      <c r="A230" s="21" t="s">
        <v>468</v>
      </c>
      <c r="B230" s="22">
        <v>6</v>
      </c>
      <c r="C230" s="22">
        <v>177</v>
      </c>
      <c r="D230" s="47" t="s">
        <v>310</v>
      </c>
      <c r="E230" s="23">
        <v>46594</v>
      </c>
      <c r="F230" s="23">
        <v>46598</v>
      </c>
      <c r="G230" s="2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>
      <c r="A231" s="21" t="s">
        <v>469</v>
      </c>
      <c r="B231" s="22">
        <v>6</v>
      </c>
      <c r="C231" s="22">
        <v>189</v>
      </c>
      <c r="D231" s="47" t="s">
        <v>312</v>
      </c>
      <c r="E231" s="23">
        <v>46594</v>
      </c>
      <c r="F231" s="23">
        <v>46598</v>
      </c>
      <c r="G231" s="2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>
      <c r="A232" s="21" t="s">
        <v>470</v>
      </c>
      <c r="B232" s="22">
        <v>6</v>
      </c>
      <c r="C232" s="22">
        <v>190</v>
      </c>
      <c r="D232" s="47" t="s">
        <v>314</v>
      </c>
      <c r="E232" s="23">
        <v>46594</v>
      </c>
      <c r="F232" s="23">
        <v>46598</v>
      </c>
      <c r="G232" s="2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>
      <c r="A233" s="5" t="s">
        <v>471</v>
      </c>
      <c r="B233" s="6">
        <v>1</v>
      </c>
      <c r="C233" s="6">
        <v>178</v>
      </c>
      <c r="D233" s="6" t="s">
        <v>472</v>
      </c>
      <c r="E233" s="7">
        <v>46594</v>
      </c>
      <c r="F233" s="7">
        <v>46598</v>
      </c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>
      <c r="A234" s="9" t="s">
        <v>473</v>
      </c>
      <c r="B234" s="10">
        <v>3</v>
      </c>
      <c r="C234" s="10">
        <v>179</v>
      </c>
      <c r="D234" s="44" t="s">
        <v>474</v>
      </c>
      <c r="E234" s="11">
        <v>46601</v>
      </c>
      <c r="F234" s="11">
        <v>46630</v>
      </c>
      <c r="G234" s="1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>
      <c r="A235" s="13" t="s">
        <v>475</v>
      </c>
      <c r="B235" s="14">
        <v>5</v>
      </c>
      <c r="C235" s="14">
        <v>180</v>
      </c>
      <c r="D235" s="46" t="s">
        <v>476</v>
      </c>
      <c r="E235" s="15">
        <v>46601</v>
      </c>
      <c r="F235" s="15">
        <v>46630</v>
      </c>
      <c r="G235" s="1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>
      <c r="A236" s="25" t="s">
        <v>477</v>
      </c>
      <c r="B236" s="26">
        <v>5</v>
      </c>
      <c r="C236" s="26">
        <v>181</v>
      </c>
      <c r="D236" s="48" t="s">
        <v>478</v>
      </c>
      <c r="E236" s="27">
        <v>46601</v>
      </c>
      <c r="F236" s="27">
        <v>46630</v>
      </c>
      <c r="G236" s="2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4"/>
      <c r="C237" s="4"/>
      <c r="D237" s="5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4"/>
      <c r="C238" s="4"/>
      <c r="D238" s="5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4"/>
      <c r="C239" s="4"/>
      <c r="D239" s="5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4"/>
      <c r="C240" s="4"/>
      <c r="D240" s="5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4"/>
      <c r="C241" s="4"/>
      <c r="D241" s="5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4"/>
      <c r="C242" s="4"/>
      <c r="D242" s="5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4"/>
      <c r="C243" s="4"/>
      <c r="D243" s="5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4"/>
      <c r="C244" s="4"/>
      <c r="D244" s="5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4"/>
      <c r="C245" s="4"/>
      <c r="D245" s="5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4"/>
      <c r="C246" s="4"/>
      <c r="D246" s="5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4"/>
      <c r="C247" s="4"/>
      <c r="D247" s="5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4"/>
      <c r="C248" s="4"/>
      <c r="D248" s="5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4"/>
      <c r="C249" s="4"/>
      <c r="D249" s="5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4"/>
      <c r="C250" s="4"/>
      <c r="D250" s="5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4"/>
      <c r="C251" s="4"/>
      <c r="D251" s="5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4"/>
      <c r="C252" s="4"/>
      <c r="D252" s="5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4"/>
      <c r="C253" s="4"/>
      <c r="D253" s="5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4"/>
      <c r="C254" s="4"/>
      <c r="D254" s="5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4"/>
      <c r="C255" s="4"/>
      <c r="D255" s="5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4"/>
      <c r="C256" s="4"/>
      <c r="D256" s="5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4"/>
      <c r="C257" s="4"/>
      <c r="D257" s="5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4"/>
      <c r="C258" s="4"/>
      <c r="D258" s="5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4"/>
      <c r="C259" s="4"/>
      <c r="D259" s="5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4"/>
      <c r="C260" s="4"/>
      <c r="D260" s="5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4"/>
      <c r="C261" s="4"/>
      <c r="D261" s="5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4"/>
      <c r="C262" s="4"/>
      <c r="D262" s="5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4"/>
      <c r="C263" s="4"/>
      <c r="D263" s="5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4"/>
      <c r="C264" s="4"/>
      <c r="D264" s="5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4"/>
      <c r="C265" s="4"/>
      <c r="D265" s="5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4"/>
      <c r="C266" s="4"/>
      <c r="D266" s="5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4"/>
      <c r="C267" s="4"/>
      <c r="D267" s="5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4"/>
      <c r="C268" s="4"/>
      <c r="D268" s="5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4"/>
      <c r="C269" s="4"/>
      <c r="D269" s="5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4"/>
      <c r="C270" s="4"/>
      <c r="D270" s="5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4"/>
      <c r="C271" s="4"/>
      <c r="D271" s="5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4"/>
      <c r="C272" s="4"/>
      <c r="D272" s="5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4"/>
      <c r="C273" s="4"/>
      <c r="D273" s="5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4"/>
      <c r="C274" s="4"/>
      <c r="D274" s="5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4"/>
      <c r="C275" s="4"/>
      <c r="D275" s="5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4"/>
      <c r="C276" s="4"/>
      <c r="D276" s="5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4"/>
      <c r="C277" s="4"/>
      <c r="D277" s="5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4"/>
      <c r="C278" s="4"/>
      <c r="D278" s="5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4"/>
      <c r="C279" s="4"/>
      <c r="D279" s="5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4"/>
      <c r="C280" s="4"/>
      <c r="D280" s="5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4"/>
      <c r="C281" s="4"/>
      <c r="D281" s="5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4"/>
      <c r="C282" s="4"/>
      <c r="D282" s="5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4"/>
      <c r="C283" s="4"/>
      <c r="D283" s="5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4"/>
      <c r="C284" s="4"/>
      <c r="D284" s="5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4"/>
      <c r="C285" s="4"/>
      <c r="D285" s="5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4"/>
      <c r="C286" s="4"/>
      <c r="D286" s="5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4"/>
      <c r="C287" s="4"/>
      <c r="D287" s="5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4"/>
      <c r="C288" s="4"/>
      <c r="D288" s="5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4"/>
      <c r="C289" s="4"/>
      <c r="D289" s="5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4"/>
      <c r="C290" s="4"/>
      <c r="D290" s="5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4"/>
      <c r="C291" s="4"/>
      <c r="D291" s="5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4"/>
      <c r="C292" s="4"/>
      <c r="D292" s="5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4"/>
      <c r="C293" s="4"/>
      <c r="D293" s="5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4"/>
      <c r="C294" s="4"/>
      <c r="D294" s="5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4"/>
      <c r="C295" s="4"/>
      <c r="D295" s="5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4"/>
      <c r="C296" s="4"/>
      <c r="D296" s="5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4"/>
      <c r="C297" s="4"/>
      <c r="D297" s="5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4"/>
      <c r="C298" s="4"/>
      <c r="D298" s="5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4"/>
      <c r="C299" s="4"/>
      <c r="D299" s="5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4"/>
      <c r="C300" s="4"/>
      <c r="D300" s="5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workbookViewId="0">
      <selection sqref="A1:XFD1"/>
    </sheetView>
  </sheetViews>
  <sheetFormatPr defaultRowHeight="14.4"/>
  <cols>
    <col min="1" max="1" width="8.77734375" bestFit="1" customWidth="1"/>
    <col min="2" max="2" width="3.33203125" bestFit="1" customWidth="1"/>
    <col min="3" max="3" width="4.5546875" bestFit="1" customWidth="1"/>
    <col min="4" max="4" width="62" bestFit="1" customWidth="1"/>
    <col min="5" max="6" width="11.6640625" bestFit="1" customWidth="1"/>
    <col min="7" max="7" width="25.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>
        <v>1</v>
      </c>
      <c r="C2" t="s">
        <v>7</v>
      </c>
      <c r="D2" t="s">
        <v>8</v>
      </c>
      <c r="E2">
        <v>45999</v>
      </c>
      <c r="F2">
        <v>46759</v>
      </c>
    </row>
    <row r="3" spans="1:7">
      <c r="A3" t="s">
        <v>9</v>
      </c>
      <c r="B3">
        <v>1</v>
      </c>
      <c r="C3">
        <v>1</v>
      </c>
      <c r="D3" t="s">
        <v>10</v>
      </c>
      <c r="E3">
        <v>45999</v>
      </c>
      <c r="F3">
        <v>46115</v>
      </c>
    </row>
    <row r="4" spans="1:7">
      <c r="A4" t="s">
        <v>11</v>
      </c>
      <c r="B4">
        <v>3</v>
      </c>
      <c r="C4">
        <v>2</v>
      </c>
      <c r="D4" t="s">
        <v>12</v>
      </c>
      <c r="E4">
        <v>45999</v>
      </c>
      <c r="F4">
        <v>46003</v>
      </c>
    </row>
    <row r="5" spans="1:7">
      <c r="A5" t="s">
        <v>13</v>
      </c>
      <c r="B5">
        <v>5</v>
      </c>
      <c r="C5">
        <v>3</v>
      </c>
      <c r="D5" t="s">
        <v>14</v>
      </c>
      <c r="E5">
        <v>45999</v>
      </c>
      <c r="F5">
        <v>46003</v>
      </c>
    </row>
    <row r="6" spans="1:7">
      <c r="A6" t="s">
        <v>15</v>
      </c>
      <c r="B6">
        <v>5</v>
      </c>
      <c r="C6">
        <v>4</v>
      </c>
      <c r="D6" t="s">
        <v>16</v>
      </c>
      <c r="E6">
        <v>45999</v>
      </c>
      <c r="F6">
        <v>46003</v>
      </c>
    </row>
    <row r="7" spans="1:7">
      <c r="A7" t="s">
        <v>17</v>
      </c>
      <c r="B7">
        <v>3</v>
      </c>
      <c r="C7">
        <v>5</v>
      </c>
      <c r="D7" t="s">
        <v>18</v>
      </c>
      <c r="E7">
        <v>46006</v>
      </c>
      <c r="F7">
        <v>46052</v>
      </c>
    </row>
    <row r="8" spans="1:7">
      <c r="A8" t="s">
        <v>19</v>
      </c>
      <c r="B8">
        <v>5</v>
      </c>
      <c r="C8">
        <v>6</v>
      </c>
      <c r="D8" t="s">
        <v>20</v>
      </c>
      <c r="E8">
        <v>46006</v>
      </c>
      <c r="F8">
        <v>46017</v>
      </c>
    </row>
    <row r="9" spans="1:7">
      <c r="A9" t="s">
        <v>21</v>
      </c>
      <c r="B9">
        <v>5</v>
      </c>
      <c r="C9">
        <v>7</v>
      </c>
      <c r="D9" t="s">
        <v>22</v>
      </c>
      <c r="E9">
        <v>46006</v>
      </c>
      <c r="F9">
        <v>46017</v>
      </c>
    </row>
    <row r="10" spans="1:7">
      <c r="A10" t="s">
        <v>23</v>
      </c>
      <c r="B10">
        <v>5</v>
      </c>
      <c r="C10">
        <v>8</v>
      </c>
      <c r="D10" t="s">
        <v>24</v>
      </c>
      <c r="E10">
        <v>46020</v>
      </c>
      <c r="F10">
        <v>46031</v>
      </c>
    </row>
    <row r="11" spans="1:7">
      <c r="A11" t="s">
        <v>25</v>
      </c>
      <c r="B11">
        <v>5</v>
      </c>
      <c r="C11">
        <v>9</v>
      </c>
      <c r="D11" t="s">
        <v>26</v>
      </c>
      <c r="E11">
        <v>46027</v>
      </c>
      <c r="F11">
        <v>46031</v>
      </c>
    </row>
    <row r="12" spans="1:7">
      <c r="A12" t="s">
        <v>27</v>
      </c>
      <c r="B12">
        <v>5</v>
      </c>
      <c r="C12">
        <v>10</v>
      </c>
      <c r="D12" t="s">
        <v>28</v>
      </c>
      <c r="E12">
        <v>46027</v>
      </c>
      <c r="F12">
        <v>46052</v>
      </c>
    </row>
    <row r="13" spans="1:7">
      <c r="A13" t="s">
        <v>29</v>
      </c>
      <c r="B13">
        <v>7</v>
      </c>
      <c r="C13">
        <v>11</v>
      </c>
      <c r="D13" t="s">
        <v>30</v>
      </c>
      <c r="E13">
        <v>46027</v>
      </c>
      <c r="F13">
        <v>46052</v>
      </c>
      <c r="G13" t="s">
        <v>31</v>
      </c>
    </row>
    <row r="14" spans="1:7">
      <c r="A14" t="s">
        <v>32</v>
      </c>
      <c r="B14">
        <v>3</v>
      </c>
      <c r="C14">
        <v>12</v>
      </c>
      <c r="D14" t="s">
        <v>33</v>
      </c>
      <c r="E14">
        <v>46048</v>
      </c>
      <c r="F14">
        <v>46073</v>
      </c>
    </row>
    <row r="15" spans="1:7">
      <c r="A15" t="s">
        <v>34</v>
      </c>
      <c r="B15">
        <v>5</v>
      </c>
      <c r="C15">
        <v>14</v>
      </c>
      <c r="D15" t="s">
        <v>35</v>
      </c>
      <c r="E15">
        <v>46048</v>
      </c>
      <c r="F15">
        <v>46073</v>
      </c>
      <c r="G15" t="s">
        <v>36</v>
      </c>
    </row>
    <row r="16" spans="1:7">
      <c r="A16" t="s">
        <v>37</v>
      </c>
      <c r="B16">
        <v>3</v>
      </c>
      <c r="C16">
        <v>15</v>
      </c>
      <c r="D16" t="s">
        <v>38</v>
      </c>
      <c r="E16">
        <v>46055</v>
      </c>
      <c r="F16">
        <v>46108</v>
      </c>
    </row>
    <row r="17" spans="1:7">
      <c r="A17" t="s">
        <v>39</v>
      </c>
      <c r="B17">
        <v>5</v>
      </c>
      <c r="C17">
        <v>16</v>
      </c>
      <c r="D17" t="s">
        <v>40</v>
      </c>
      <c r="E17">
        <v>46055</v>
      </c>
      <c r="F17">
        <v>46108</v>
      </c>
    </row>
    <row r="18" spans="1:7">
      <c r="A18" t="s">
        <v>41</v>
      </c>
      <c r="B18">
        <v>7</v>
      </c>
      <c r="C18">
        <v>17</v>
      </c>
      <c r="D18" t="s">
        <v>42</v>
      </c>
      <c r="E18">
        <v>46055</v>
      </c>
      <c r="F18">
        <v>46108</v>
      </c>
      <c r="G18" t="s">
        <v>43</v>
      </c>
    </row>
    <row r="19" spans="1:7">
      <c r="A19" t="s">
        <v>44</v>
      </c>
      <c r="B19">
        <v>7</v>
      </c>
      <c r="C19">
        <v>18</v>
      </c>
      <c r="D19" t="s">
        <v>45</v>
      </c>
      <c r="E19">
        <v>46055</v>
      </c>
      <c r="F19">
        <v>46108</v>
      </c>
    </row>
    <row r="20" spans="1:7">
      <c r="A20" t="s">
        <v>46</v>
      </c>
      <c r="B20">
        <v>7</v>
      </c>
      <c r="C20">
        <v>246</v>
      </c>
      <c r="D20" t="s">
        <v>47</v>
      </c>
      <c r="E20">
        <v>46055</v>
      </c>
      <c r="F20">
        <v>46108</v>
      </c>
    </row>
    <row r="21" spans="1:7">
      <c r="A21" t="s">
        <v>48</v>
      </c>
      <c r="B21">
        <v>5</v>
      </c>
      <c r="C21">
        <v>20</v>
      </c>
      <c r="D21" t="s">
        <v>49</v>
      </c>
      <c r="E21">
        <v>46055</v>
      </c>
      <c r="F21">
        <v>46073</v>
      </c>
    </row>
    <row r="22" spans="1:7">
      <c r="A22" t="s">
        <v>50</v>
      </c>
      <c r="B22">
        <v>5</v>
      </c>
      <c r="C22">
        <v>21</v>
      </c>
      <c r="D22" t="s">
        <v>51</v>
      </c>
      <c r="E22">
        <v>46055</v>
      </c>
      <c r="F22">
        <v>46073</v>
      </c>
    </row>
    <row r="23" spans="1:7">
      <c r="A23" t="s">
        <v>52</v>
      </c>
      <c r="B23">
        <v>5</v>
      </c>
      <c r="C23">
        <v>22</v>
      </c>
      <c r="D23" t="s">
        <v>53</v>
      </c>
      <c r="E23">
        <v>46072</v>
      </c>
      <c r="F23">
        <v>46073</v>
      </c>
    </row>
    <row r="24" spans="1:7">
      <c r="A24" t="s">
        <v>54</v>
      </c>
      <c r="B24">
        <v>3</v>
      </c>
      <c r="C24">
        <v>23</v>
      </c>
      <c r="D24" t="s">
        <v>55</v>
      </c>
      <c r="E24">
        <v>46072</v>
      </c>
      <c r="F24">
        <v>46112</v>
      </c>
    </row>
    <row r="25" spans="1:7">
      <c r="A25" t="s">
        <v>56</v>
      </c>
      <c r="B25">
        <v>5</v>
      </c>
      <c r="C25">
        <v>24</v>
      </c>
      <c r="D25" t="s">
        <v>57</v>
      </c>
      <c r="E25">
        <v>46076</v>
      </c>
      <c r="F25">
        <v>46112</v>
      </c>
    </row>
    <row r="26" spans="1:7">
      <c r="A26" t="s">
        <v>58</v>
      </c>
      <c r="B26">
        <v>7</v>
      </c>
      <c r="C26">
        <v>25</v>
      </c>
      <c r="D26" t="s">
        <v>59</v>
      </c>
      <c r="E26">
        <v>46076</v>
      </c>
      <c r="F26">
        <v>46080</v>
      </c>
    </row>
    <row r="27" spans="1:7">
      <c r="A27" t="s">
        <v>60</v>
      </c>
      <c r="B27">
        <v>7</v>
      </c>
      <c r="C27">
        <v>26</v>
      </c>
      <c r="D27" t="s">
        <v>61</v>
      </c>
      <c r="E27">
        <v>46084</v>
      </c>
      <c r="F27">
        <v>46101</v>
      </c>
      <c r="G27" t="s">
        <v>62</v>
      </c>
    </row>
    <row r="28" spans="1:7">
      <c r="A28" t="s">
        <v>63</v>
      </c>
      <c r="B28">
        <v>7</v>
      </c>
      <c r="C28">
        <v>27</v>
      </c>
      <c r="D28" t="s">
        <v>64</v>
      </c>
      <c r="E28">
        <v>46104</v>
      </c>
      <c r="F28">
        <v>46112</v>
      </c>
    </row>
    <row r="29" spans="1:7">
      <c r="A29" t="s">
        <v>65</v>
      </c>
      <c r="B29">
        <v>5</v>
      </c>
      <c r="C29">
        <v>28</v>
      </c>
      <c r="D29" t="s">
        <v>66</v>
      </c>
      <c r="E29">
        <v>46072</v>
      </c>
      <c r="F29">
        <v>46112</v>
      </c>
    </row>
    <row r="30" spans="1:7">
      <c r="A30" t="s">
        <v>67</v>
      </c>
      <c r="B30">
        <v>7</v>
      </c>
      <c r="C30">
        <v>29</v>
      </c>
      <c r="D30" t="s">
        <v>68</v>
      </c>
      <c r="E30">
        <v>46072</v>
      </c>
      <c r="F30">
        <v>46087</v>
      </c>
    </row>
    <row r="31" spans="1:7">
      <c r="A31" t="s">
        <v>69</v>
      </c>
      <c r="B31">
        <v>7</v>
      </c>
      <c r="C31">
        <v>30</v>
      </c>
      <c r="D31" t="s">
        <v>70</v>
      </c>
      <c r="E31">
        <v>46076</v>
      </c>
      <c r="F31">
        <v>46094</v>
      </c>
    </row>
    <row r="32" spans="1:7">
      <c r="A32" t="s">
        <v>71</v>
      </c>
      <c r="B32">
        <v>7</v>
      </c>
      <c r="C32">
        <v>31</v>
      </c>
      <c r="D32" t="s">
        <v>72</v>
      </c>
      <c r="E32">
        <v>46084</v>
      </c>
      <c r="F32">
        <v>46112</v>
      </c>
    </row>
    <row r="33" spans="1:7">
      <c r="A33" t="s">
        <v>73</v>
      </c>
      <c r="B33">
        <v>7</v>
      </c>
      <c r="C33">
        <v>32</v>
      </c>
      <c r="D33" t="s">
        <v>74</v>
      </c>
      <c r="E33">
        <v>46090</v>
      </c>
      <c r="F33">
        <v>46112</v>
      </c>
    </row>
    <row r="34" spans="1:7">
      <c r="A34" t="s">
        <v>75</v>
      </c>
      <c r="B34">
        <v>5</v>
      </c>
      <c r="C34">
        <v>36</v>
      </c>
      <c r="D34" t="s">
        <v>76</v>
      </c>
      <c r="E34">
        <v>46076</v>
      </c>
      <c r="F34">
        <v>46112</v>
      </c>
    </row>
    <row r="35" spans="1:7">
      <c r="A35" t="s">
        <v>77</v>
      </c>
      <c r="B35">
        <v>7</v>
      </c>
      <c r="C35">
        <v>37</v>
      </c>
      <c r="D35" t="s">
        <v>78</v>
      </c>
      <c r="E35">
        <v>46076</v>
      </c>
      <c r="F35">
        <v>46112</v>
      </c>
    </row>
    <row r="36" spans="1:7">
      <c r="A36" t="s">
        <v>79</v>
      </c>
      <c r="B36">
        <v>7</v>
      </c>
      <c r="C36">
        <v>38</v>
      </c>
      <c r="D36" t="s">
        <v>80</v>
      </c>
      <c r="E36">
        <v>46087</v>
      </c>
      <c r="F36">
        <v>46112</v>
      </c>
    </row>
    <row r="37" spans="1:7">
      <c r="A37" t="s">
        <v>81</v>
      </c>
      <c r="B37">
        <v>5</v>
      </c>
      <c r="C37">
        <v>39</v>
      </c>
      <c r="D37" t="s">
        <v>82</v>
      </c>
      <c r="E37">
        <v>46076</v>
      </c>
      <c r="F37">
        <v>46112</v>
      </c>
    </row>
    <row r="38" spans="1:7">
      <c r="A38" t="s">
        <v>83</v>
      </c>
      <c r="B38">
        <v>7</v>
      </c>
      <c r="C38">
        <v>40</v>
      </c>
      <c r="D38" t="s">
        <v>84</v>
      </c>
      <c r="E38">
        <v>46076</v>
      </c>
      <c r="F38">
        <v>46112</v>
      </c>
    </row>
    <row r="39" spans="1:7">
      <c r="A39" t="s">
        <v>85</v>
      </c>
      <c r="B39">
        <v>7</v>
      </c>
      <c r="C39">
        <v>41</v>
      </c>
      <c r="D39" t="s">
        <v>86</v>
      </c>
      <c r="E39">
        <v>46076</v>
      </c>
      <c r="F39">
        <v>46112</v>
      </c>
    </row>
    <row r="40" spans="1:7">
      <c r="A40" t="s">
        <v>87</v>
      </c>
      <c r="B40">
        <v>5</v>
      </c>
      <c r="C40">
        <v>42</v>
      </c>
      <c r="D40" t="s">
        <v>88</v>
      </c>
      <c r="E40">
        <v>46072</v>
      </c>
      <c r="F40">
        <v>46112</v>
      </c>
    </row>
    <row r="41" spans="1:7">
      <c r="A41" t="s">
        <v>89</v>
      </c>
      <c r="B41">
        <v>7</v>
      </c>
      <c r="C41">
        <v>43</v>
      </c>
      <c r="D41" t="s">
        <v>90</v>
      </c>
      <c r="E41">
        <v>46072</v>
      </c>
      <c r="F41">
        <v>46112</v>
      </c>
      <c r="G41" t="s">
        <v>91</v>
      </c>
    </row>
    <row r="42" spans="1:7">
      <c r="A42" t="s">
        <v>92</v>
      </c>
      <c r="B42">
        <v>7</v>
      </c>
      <c r="C42">
        <v>44</v>
      </c>
      <c r="D42" t="s">
        <v>93</v>
      </c>
      <c r="E42">
        <v>46090</v>
      </c>
      <c r="F42">
        <v>46112</v>
      </c>
      <c r="G42" t="s">
        <v>91</v>
      </c>
    </row>
    <row r="43" spans="1:7">
      <c r="A43" t="s">
        <v>94</v>
      </c>
      <c r="B43">
        <v>5</v>
      </c>
      <c r="C43">
        <v>45</v>
      </c>
      <c r="D43" t="s">
        <v>95</v>
      </c>
      <c r="E43">
        <v>46072</v>
      </c>
      <c r="F43">
        <v>46112</v>
      </c>
    </row>
    <row r="44" spans="1:7">
      <c r="A44" t="s">
        <v>96</v>
      </c>
      <c r="B44">
        <v>7</v>
      </c>
      <c r="C44">
        <v>46</v>
      </c>
      <c r="D44" t="s">
        <v>97</v>
      </c>
      <c r="E44">
        <v>46072</v>
      </c>
      <c r="F44">
        <v>46094</v>
      </c>
      <c r="G44" t="s">
        <v>98</v>
      </c>
    </row>
    <row r="45" spans="1:7">
      <c r="A45" t="s">
        <v>99</v>
      </c>
      <c r="B45">
        <v>7</v>
      </c>
      <c r="C45">
        <v>47</v>
      </c>
      <c r="D45" t="s">
        <v>100</v>
      </c>
      <c r="E45">
        <v>46097</v>
      </c>
      <c r="F45">
        <v>46106</v>
      </c>
      <c r="G45" t="s">
        <v>101</v>
      </c>
    </row>
    <row r="46" spans="1:7">
      <c r="A46" t="s">
        <v>102</v>
      </c>
      <c r="B46">
        <v>7</v>
      </c>
      <c r="C46">
        <v>48</v>
      </c>
      <c r="D46" t="s">
        <v>103</v>
      </c>
      <c r="E46">
        <v>46097</v>
      </c>
      <c r="F46">
        <v>46106</v>
      </c>
      <c r="G46" t="s">
        <v>104</v>
      </c>
    </row>
    <row r="47" spans="1:7">
      <c r="A47" t="s">
        <v>105</v>
      </c>
      <c r="B47">
        <v>7</v>
      </c>
      <c r="C47">
        <v>49</v>
      </c>
      <c r="D47" t="s">
        <v>106</v>
      </c>
      <c r="E47">
        <v>46097</v>
      </c>
      <c r="F47">
        <v>46112</v>
      </c>
      <c r="G47" t="s">
        <v>107</v>
      </c>
    </row>
    <row r="48" spans="1:7">
      <c r="A48" t="s">
        <v>108</v>
      </c>
      <c r="B48">
        <v>3</v>
      </c>
      <c r="C48">
        <v>245</v>
      </c>
      <c r="D48" t="s">
        <v>53</v>
      </c>
      <c r="E48">
        <v>46113</v>
      </c>
      <c r="F48">
        <v>46115</v>
      </c>
    </row>
    <row r="49" spans="1:7">
      <c r="A49" t="s">
        <v>109</v>
      </c>
      <c r="B49">
        <v>1</v>
      </c>
      <c r="C49">
        <v>55</v>
      </c>
      <c r="D49" t="s">
        <v>110</v>
      </c>
      <c r="E49">
        <v>46118</v>
      </c>
      <c r="F49">
        <v>46325</v>
      </c>
    </row>
    <row r="50" spans="1:7">
      <c r="A50" t="s">
        <v>111</v>
      </c>
      <c r="B50">
        <v>3</v>
      </c>
      <c r="C50">
        <v>56</v>
      </c>
      <c r="D50" t="s">
        <v>112</v>
      </c>
      <c r="E50">
        <v>46118</v>
      </c>
      <c r="F50">
        <v>46129</v>
      </c>
    </row>
    <row r="51" spans="1:7">
      <c r="A51" t="s">
        <v>113</v>
      </c>
      <c r="B51">
        <v>5</v>
      </c>
      <c r="C51">
        <v>57</v>
      </c>
      <c r="D51" t="s">
        <v>114</v>
      </c>
      <c r="E51">
        <v>46118</v>
      </c>
      <c r="F51">
        <v>46122</v>
      </c>
    </row>
    <row r="52" spans="1:7">
      <c r="A52" t="s">
        <v>115</v>
      </c>
      <c r="B52">
        <v>5</v>
      </c>
      <c r="C52">
        <v>58</v>
      </c>
      <c r="D52" t="s">
        <v>116</v>
      </c>
      <c r="E52">
        <v>46118</v>
      </c>
      <c r="F52">
        <v>46122</v>
      </c>
    </row>
    <row r="53" spans="1:7">
      <c r="A53" t="s">
        <v>117</v>
      </c>
      <c r="B53">
        <v>5</v>
      </c>
      <c r="C53">
        <v>59</v>
      </c>
      <c r="D53" t="s">
        <v>118</v>
      </c>
      <c r="E53">
        <v>46118</v>
      </c>
      <c r="F53">
        <v>46122</v>
      </c>
    </row>
    <row r="54" spans="1:7">
      <c r="A54" t="s">
        <v>119</v>
      </c>
      <c r="B54">
        <v>5</v>
      </c>
      <c r="C54">
        <v>60</v>
      </c>
      <c r="D54" t="s">
        <v>120</v>
      </c>
      <c r="E54">
        <v>46118</v>
      </c>
      <c r="F54">
        <v>46122</v>
      </c>
    </row>
    <row r="55" spans="1:7">
      <c r="A55" t="s">
        <v>121</v>
      </c>
      <c r="B55">
        <v>5</v>
      </c>
      <c r="C55">
        <v>61</v>
      </c>
      <c r="D55" t="s">
        <v>122</v>
      </c>
      <c r="E55">
        <v>46125</v>
      </c>
      <c r="F55">
        <v>46129</v>
      </c>
    </row>
    <row r="56" spans="1:7">
      <c r="A56" t="s">
        <v>123</v>
      </c>
      <c r="B56">
        <v>5</v>
      </c>
      <c r="C56">
        <v>62</v>
      </c>
      <c r="D56" t="s">
        <v>124</v>
      </c>
      <c r="E56">
        <v>46125</v>
      </c>
      <c r="F56">
        <v>46129</v>
      </c>
    </row>
    <row r="57" spans="1:7">
      <c r="A57" t="s">
        <v>125</v>
      </c>
      <c r="B57">
        <v>5</v>
      </c>
      <c r="C57">
        <v>63</v>
      </c>
      <c r="D57" t="s">
        <v>126</v>
      </c>
      <c r="E57">
        <v>46125</v>
      </c>
      <c r="F57">
        <v>46129</v>
      </c>
    </row>
    <row r="58" spans="1:7">
      <c r="A58" t="s">
        <v>127</v>
      </c>
      <c r="B58">
        <v>3</v>
      </c>
      <c r="C58">
        <v>64</v>
      </c>
      <c r="D58" t="s">
        <v>55</v>
      </c>
      <c r="E58">
        <v>46118</v>
      </c>
      <c r="F58">
        <v>46325</v>
      </c>
    </row>
    <row r="59" spans="1:7">
      <c r="A59" t="s">
        <v>128</v>
      </c>
      <c r="B59">
        <v>5</v>
      </c>
      <c r="C59">
        <v>65</v>
      </c>
      <c r="D59" t="s">
        <v>129</v>
      </c>
      <c r="E59">
        <v>46132</v>
      </c>
      <c r="F59">
        <v>46192</v>
      </c>
    </row>
    <row r="60" spans="1:7">
      <c r="A60" t="s">
        <v>130</v>
      </c>
      <c r="B60">
        <v>7</v>
      </c>
      <c r="C60">
        <v>66</v>
      </c>
      <c r="D60" t="s">
        <v>131</v>
      </c>
      <c r="E60">
        <v>46132</v>
      </c>
      <c r="F60">
        <v>46150</v>
      </c>
      <c r="G60" t="s">
        <v>62</v>
      </c>
    </row>
    <row r="61" spans="1:7">
      <c r="A61" t="s">
        <v>132</v>
      </c>
      <c r="B61">
        <v>7</v>
      </c>
      <c r="C61">
        <v>67</v>
      </c>
      <c r="D61" t="s">
        <v>133</v>
      </c>
      <c r="E61">
        <v>46153</v>
      </c>
      <c r="F61">
        <v>46192</v>
      </c>
    </row>
    <row r="62" spans="1:7">
      <c r="A62" t="s">
        <v>134</v>
      </c>
      <c r="B62">
        <v>5</v>
      </c>
      <c r="C62">
        <v>68</v>
      </c>
      <c r="D62" t="s">
        <v>135</v>
      </c>
      <c r="E62">
        <v>46132</v>
      </c>
      <c r="F62">
        <v>46192</v>
      </c>
    </row>
    <row r="63" spans="1:7">
      <c r="A63" t="s">
        <v>136</v>
      </c>
      <c r="B63">
        <v>7</v>
      </c>
      <c r="C63">
        <v>69</v>
      </c>
      <c r="D63" t="s">
        <v>137</v>
      </c>
      <c r="E63">
        <v>46132</v>
      </c>
      <c r="F63">
        <v>46142</v>
      </c>
    </row>
    <row r="64" spans="1:7">
      <c r="A64" t="s">
        <v>138</v>
      </c>
      <c r="B64">
        <v>7</v>
      </c>
      <c r="C64">
        <v>70</v>
      </c>
      <c r="D64" t="s">
        <v>139</v>
      </c>
      <c r="E64">
        <v>46132</v>
      </c>
      <c r="F64">
        <v>46142</v>
      </c>
    </row>
    <row r="65" spans="1:7">
      <c r="A65" t="s">
        <v>140</v>
      </c>
      <c r="B65">
        <v>7</v>
      </c>
      <c r="C65">
        <v>71</v>
      </c>
      <c r="D65" t="s">
        <v>141</v>
      </c>
      <c r="E65">
        <v>46132</v>
      </c>
      <c r="F65">
        <v>46142</v>
      </c>
    </row>
    <row r="66" spans="1:7">
      <c r="A66" t="s">
        <v>142</v>
      </c>
      <c r="B66">
        <v>7</v>
      </c>
      <c r="C66">
        <v>72</v>
      </c>
      <c r="D66" t="s">
        <v>143</v>
      </c>
      <c r="E66">
        <v>46146</v>
      </c>
      <c r="F66">
        <v>46171</v>
      </c>
    </row>
    <row r="67" spans="1:7">
      <c r="A67" t="s">
        <v>144</v>
      </c>
      <c r="B67">
        <v>7</v>
      </c>
      <c r="C67">
        <v>73</v>
      </c>
      <c r="D67" t="s">
        <v>145</v>
      </c>
      <c r="E67">
        <v>46153</v>
      </c>
      <c r="F67">
        <v>46171</v>
      </c>
    </row>
    <row r="68" spans="1:7">
      <c r="A68" t="s">
        <v>146</v>
      </c>
      <c r="B68">
        <v>7</v>
      </c>
      <c r="C68">
        <v>74</v>
      </c>
      <c r="D68" t="s">
        <v>147</v>
      </c>
      <c r="E68">
        <v>46174</v>
      </c>
      <c r="F68">
        <v>46192</v>
      </c>
      <c r="G68" t="s">
        <v>43</v>
      </c>
    </row>
    <row r="69" spans="1:7">
      <c r="A69" t="s">
        <v>148</v>
      </c>
      <c r="B69">
        <v>5</v>
      </c>
      <c r="C69">
        <v>75</v>
      </c>
      <c r="D69" t="s">
        <v>149</v>
      </c>
      <c r="E69">
        <v>46146</v>
      </c>
      <c r="F69">
        <v>46192</v>
      </c>
    </row>
    <row r="70" spans="1:7">
      <c r="A70" t="s">
        <v>150</v>
      </c>
      <c r="B70">
        <v>7</v>
      </c>
      <c r="C70">
        <v>76</v>
      </c>
      <c r="D70" t="s">
        <v>78</v>
      </c>
      <c r="E70">
        <v>46146</v>
      </c>
      <c r="F70">
        <v>46164</v>
      </c>
    </row>
    <row r="71" spans="1:7">
      <c r="A71" t="s">
        <v>151</v>
      </c>
      <c r="B71">
        <v>7</v>
      </c>
      <c r="C71">
        <v>77</v>
      </c>
      <c r="D71" t="s">
        <v>80</v>
      </c>
      <c r="E71">
        <v>46168</v>
      </c>
      <c r="F71">
        <v>46192</v>
      </c>
      <c r="G71" t="s">
        <v>43</v>
      </c>
    </row>
    <row r="72" spans="1:7">
      <c r="A72" t="s">
        <v>152</v>
      </c>
      <c r="B72">
        <v>5</v>
      </c>
      <c r="C72">
        <v>78</v>
      </c>
      <c r="D72" t="s">
        <v>153</v>
      </c>
      <c r="E72">
        <v>46174</v>
      </c>
      <c r="F72">
        <v>46192</v>
      </c>
    </row>
    <row r="73" spans="1:7">
      <c r="A73" t="s">
        <v>154</v>
      </c>
      <c r="B73">
        <v>7</v>
      </c>
      <c r="C73">
        <v>79</v>
      </c>
      <c r="D73" t="s">
        <v>84</v>
      </c>
      <c r="E73">
        <v>46174</v>
      </c>
      <c r="F73">
        <v>46192</v>
      </c>
    </row>
    <row r="74" spans="1:7">
      <c r="A74" t="s">
        <v>155</v>
      </c>
      <c r="B74">
        <v>7</v>
      </c>
      <c r="C74">
        <v>80</v>
      </c>
      <c r="D74" t="s">
        <v>156</v>
      </c>
      <c r="E74">
        <v>46174</v>
      </c>
      <c r="F74">
        <v>46192</v>
      </c>
      <c r="G74" t="s">
        <v>43</v>
      </c>
    </row>
    <row r="75" spans="1:7">
      <c r="A75" t="s">
        <v>157</v>
      </c>
      <c r="B75">
        <v>5</v>
      </c>
      <c r="C75">
        <v>81</v>
      </c>
      <c r="D75" t="s">
        <v>158</v>
      </c>
      <c r="E75">
        <v>46195</v>
      </c>
      <c r="F75">
        <v>46262</v>
      </c>
    </row>
    <row r="76" spans="1:7">
      <c r="A76" t="s">
        <v>159</v>
      </c>
      <c r="B76">
        <v>7</v>
      </c>
      <c r="C76">
        <v>82</v>
      </c>
      <c r="D76" t="s">
        <v>160</v>
      </c>
      <c r="E76">
        <v>46195</v>
      </c>
      <c r="F76">
        <v>46213</v>
      </c>
    </row>
    <row r="77" spans="1:7">
      <c r="A77" t="s">
        <v>161</v>
      </c>
      <c r="B77">
        <v>7</v>
      </c>
      <c r="C77">
        <v>83</v>
      </c>
      <c r="D77" t="s">
        <v>162</v>
      </c>
      <c r="E77">
        <v>46202</v>
      </c>
      <c r="F77">
        <v>46220</v>
      </c>
    </row>
    <row r="78" spans="1:7">
      <c r="A78" t="s">
        <v>163</v>
      </c>
      <c r="B78">
        <v>7</v>
      </c>
      <c r="C78">
        <v>84</v>
      </c>
      <c r="D78" t="s">
        <v>164</v>
      </c>
      <c r="E78">
        <v>46209</v>
      </c>
      <c r="F78">
        <v>46227</v>
      </c>
    </row>
    <row r="79" spans="1:7">
      <c r="A79" t="s">
        <v>165</v>
      </c>
      <c r="B79">
        <v>7</v>
      </c>
      <c r="C79">
        <v>88</v>
      </c>
      <c r="D79" t="s">
        <v>166</v>
      </c>
      <c r="E79">
        <v>46230</v>
      </c>
      <c r="F79">
        <v>46248</v>
      </c>
    </row>
    <row r="80" spans="1:7">
      <c r="A80" t="s">
        <v>167</v>
      </c>
      <c r="B80">
        <v>7</v>
      </c>
      <c r="C80">
        <v>89</v>
      </c>
      <c r="D80" t="s">
        <v>168</v>
      </c>
      <c r="E80">
        <v>46252</v>
      </c>
      <c r="F80">
        <v>46262</v>
      </c>
      <c r="G80" t="s">
        <v>43</v>
      </c>
    </row>
    <row r="81" spans="1:7">
      <c r="A81" t="s">
        <v>169</v>
      </c>
      <c r="B81">
        <v>5</v>
      </c>
      <c r="C81">
        <v>90</v>
      </c>
      <c r="D81" t="s">
        <v>170</v>
      </c>
      <c r="E81">
        <v>46252</v>
      </c>
      <c r="F81">
        <v>46283</v>
      </c>
    </row>
    <row r="82" spans="1:7">
      <c r="A82" t="s">
        <v>171</v>
      </c>
      <c r="B82">
        <v>7</v>
      </c>
      <c r="C82">
        <v>91</v>
      </c>
      <c r="D82" t="s">
        <v>172</v>
      </c>
      <c r="E82">
        <v>46252</v>
      </c>
      <c r="F82">
        <v>46262</v>
      </c>
    </row>
    <row r="83" spans="1:7">
      <c r="A83" t="s">
        <v>173</v>
      </c>
      <c r="B83">
        <v>7</v>
      </c>
      <c r="C83">
        <v>92</v>
      </c>
      <c r="D83" t="s">
        <v>174</v>
      </c>
      <c r="E83">
        <v>46265</v>
      </c>
      <c r="F83">
        <v>46276</v>
      </c>
    </row>
    <row r="84" spans="1:7">
      <c r="A84" t="s">
        <v>175</v>
      </c>
      <c r="B84">
        <v>7</v>
      </c>
      <c r="C84">
        <v>93</v>
      </c>
      <c r="D84" t="s">
        <v>176</v>
      </c>
      <c r="E84">
        <v>46272</v>
      </c>
      <c r="F84">
        <v>46283</v>
      </c>
    </row>
    <row r="85" spans="1:7">
      <c r="A85" t="s">
        <v>177</v>
      </c>
      <c r="B85">
        <v>7</v>
      </c>
      <c r="C85">
        <v>94</v>
      </c>
      <c r="D85" t="s">
        <v>178</v>
      </c>
      <c r="E85">
        <v>46272</v>
      </c>
      <c r="F85">
        <v>46283</v>
      </c>
      <c r="G85" t="s">
        <v>43</v>
      </c>
    </row>
    <row r="86" spans="1:7">
      <c r="A86" t="s">
        <v>179</v>
      </c>
      <c r="B86">
        <v>5</v>
      </c>
      <c r="C86">
        <v>95</v>
      </c>
      <c r="D86" t="s">
        <v>180</v>
      </c>
      <c r="E86">
        <v>46118</v>
      </c>
      <c r="F86">
        <v>46325</v>
      </c>
    </row>
    <row r="87" spans="1:7">
      <c r="A87" t="s">
        <v>181</v>
      </c>
      <c r="B87">
        <v>7</v>
      </c>
      <c r="C87">
        <v>96</v>
      </c>
      <c r="D87" t="s">
        <v>182</v>
      </c>
      <c r="E87">
        <v>46118</v>
      </c>
      <c r="F87">
        <v>46192</v>
      </c>
    </row>
    <row r="88" spans="1:7">
      <c r="A88" t="s">
        <v>183</v>
      </c>
      <c r="B88">
        <v>9</v>
      </c>
      <c r="C88">
        <v>97</v>
      </c>
      <c r="D88" t="s">
        <v>184</v>
      </c>
      <c r="E88">
        <v>46118</v>
      </c>
      <c r="F88">
        <v>46129</v>
      </c>
    </row>
    <row r="89" spans="1:7">
      <c r="A89" t="s">
        <v>185</v>
      </c>
      <c r="B89">
        <v>9</v>
      </c>
      <c r="C89">
        <v>98</v>
      </c>
      <c r="D89" t="s">
        <v>186</v>
      </c>
      <c r="E89">
        <v>46132</v>
      </c>
      <c r="F89">
        <v>46142</v>
      </c>
    </row>
    <row r="90" spans="1:7">
      <c r="A90" t="s">
        <v>187</v>
      </c>
      <c r="B90">
        <v>9</v>
      </c>
      <c r="C90">
        <v>99</v>
      </c>
      <c r="D90" t="s">
        <v>188</v>
      </c>
      <c r="E90">
        <v>46146</v>
      </c>
      <c r="F90">
        <v>46157</v>
      </c>
    </row>
    <row r="91" spans="1:7">
      <c r="A91" t="s">
        <v>189</v>
      </c>
      <c r="B91">
        <v>9</v>
      </c>
      <c r="C91">
        <v>100</v>
      </c>
      <c r="D91" t="s">
        <v>190</v>
      </c>
      <c r="E91">
        <v>46160</v>
      </c>
      <c r="F91">
        <v>46171</v>
      </c>
    </row>
    <row r="92" spans="1:7">
      <c r="A92" t="s">
        <v>191</v>
      </c>
      <c r="B92">
        <v>9</v>
      </c>
      <c r="C92">
        <v>101</v>
      </c>
      <c r="D92" t="s">
        <v>192</v>
      </c>
      <c r="E92">
        <v>46168</v>
      </c>
      <c r="F92">
        <v>46178</v>
      </c>
    </row>
    <row r="93" spans="1:7">
      <c r="A93" t="s">
        <v>193</v>
      </c>
      <c r="B93">
        <v>9</v>
      </c>
      <c r="C93">
        <v>102</v>
      </c>
      <c r="D93" t="s">
        <v>194</v>
      </c>
      <c r="E93">
        <v>46181</v>
      </c>
      <c r="F93">
        <v>46192</v>
      </c>
      <c r="G93" t="s">
        <v>91</v>
      </c>
    </row>
    <row r="94" spans="1:7">
      <c r="A94" t="s">
        <v>195</v>
      </c>
      <c r="B94">
        <v>7</v>
      </c>
      <c r="C94">
        <v>103</v>
      </c>
      <c r="D94" t="s">
        <v>196</v>
      </c>
      <c r="E94">
        <v>46132</v>
      </c>
      <c r="F94">
        <v>46185</v>
      </c>
    </row>
    <row r="95" spans="1:7">
      <c r="A95" t="s">
        <v>197</v>
      </c>
      <c r="B95">
        <v>9</v>
      </c>
      <c r="C95">
        <v>104</v>
      </c>
      <c r="D95" t="s">
        <v>198</v>
      </c>
      <c r="E95">
        <v>46132</v>
      </c>
      <c r="F95">
        <v>46150</v>
      </c>
    </row>
    <row r="96" spans="1:7">
      <c r="A96" t="s">
        <v>199</v>
      </c>
      <c r="B96">
        <v>9</v>
      </c>
      <c r="C96">
        <v>105</v>
      </c>
      <c r="D96" t="s">
        <v>200</v>
      </c>
      <c r="E96">
        <v>46153</v>
      </c>
      <c r="F96">
        <v>46171</v>
      </c>
    </row>
    <row r="97" spans="1:7">
      <c r="A97" t="s">
        <v>201</v>
      </c>
      <c r="B97">
        <v>9</v>
      </c>
      <c r="C97">
        <v>106</v>
      </c>
      <c r="D97" t="s">
        <v>202</v>
      </c>
      <c r="E97">
        <v>46174</v>
      </c>
      <c r="F97">
        <v>46185</v>
      </c>
      <c r="G97" t="s">
        <v>43</v>
      </c>
    </row>
    <row r="98" spans="1:7">
      <c r="A98" t="s">
        <v>203</v>
      </c>
      <c r="B98">
        <v>7</v>
      </c>
      <c r="C98">
        <v>107</v>
      </c>
      <c r="D98" t="s">
        <v>204</v>
      </c>
      <c r="E98">
        <v>46202</v>
      </c>
      <c r="F98">
        <v>46219</v>
      </c>
    </row>
    <row r="99" spans="1:7">
      <c r="A99" t="s">
        <v>205</v>
      </c>
      <c r="B99">
        <v>9</v>
      </c>
      <c r="C99">
        <v>108</v>
      </c>
      <c r="D99" t="s">
        <v>206</v>
      </c>
      <c r="E99">
        <v>46202</v>
      </c>
      <c r="F99">
        <v>46219</v>
      </c>
    </row>
    <row r="100" spans="1:7">
      <c r="A100" t="s">
        <v>207</v>
      </c>
      <c r="B100">
        <v>9</v>
      </c>
      <c r="C100">
        <v>109</v>
      </c>
      <c r="D100" t="s">
        <v>208</v>
      </c>
      <c r="E100">
        <v>46202</v>
      </c>
      <c r="F100">
        <v>46219</v>
      </c>
    </row>
    <row r="101" spans="1:7">
      <c r="A101" t="s">
        <v>209</v>
      </c>
      <c r="B101">
        <v>9</v>
      </c>
      <c r="C101">
        <v>110</v>
      </c>
      <c r="D101" t="s">
        <v>210</v>
      </c>
      <c r="E101">
        <v>46202</v>
      </c>
      <c r="F101">
        <v>46219</v>
      </c>
    </row>
    <row r="102" spans="1:7">
      <c r="A102" t="s">
        <v>211</v>
      </c>
      <c r="B102">
        <v>9</v>
      </c>
      <c r="C102">
        <v>111</v>
      </c>
      <c r="D102" t="s">
        <v>212</v>
      </c>
      <c r="E102">
        <v>46202</v>
      </c>
      <c r="F102">
        <v>46219</v>
      </c>
    </row>
    <row r="103" spans="1:7">
      <c r="A103" t="s">
        <v>213</v>
      </c>
      <c r="B103">
        <v>9</v>
      </c>
      <c r="C103">
        <v>112</v>
      </c>
      <c r="D103" t="s">
        <v>214</v>
      </c>
      <c r="E103">
        <v>46202</v>
      </c>
      <c r="F103">
        <v>46219</v>
      </c>
    </row>
    <row r="104" spans="1:7">
      <c r="A104" t="s">
        <v>215</v>
      </c>
      <c r="B104">
        <v>9</v>
      </c>
      <c r="C104">
        <v>113</v>
      </c>
      <c r="D104" t="s">
        <v>216</v>
      </c>
      <c r="E104">
        <v>46202</v>
      </c>
      <c r="F104">
        <v>46219</v>
      </c>
    </row>
    <row r="105" spans="1:7">
      <c r="A105" t="s">
        <v>217</v>
      </c>
      <c r="B105">
        <v>7</v>
      </c>
      <c r="C105">
        <v>114</v>
      </c>
      <c r="D105" t="s">
        <v>218</v>
      </c>
      <c r="E105">
        <v>46301</v>
      </c>
      <c r="F105">
        <v>46325</v>
      </c>
    </row>
    <row r="106" spans="1:7">
      <c r="A106" t="s">
        <v>219</v>
      </c>
      <c r="B106">
        <v>9</v>
      </c>
      <c r="C106">
        <v>115</v>
      </c>
      <c r="D106" t="s">
        <v>220</v>
      </c>
      <c r="E106">
        <v>46301</v>
      </c>
      <c r="F106">
        <v>46318</v>
      </c>
    </row>
    <row r="107" spans="1:7">
      <c r="A107" t="s">
        <v>221</v>
      </c>
      <c r="B107">
        <v>9</v>
      </c>
      <c r="C107">
        <v>116</v>
      </c>
      <c r="D107" t="s">
        <v>222</v>
      </c>
      <c r="E107">
        <v>46301</v>
      </c>
      <c r="F107">
        <v>46318</v>
      </c>
    </row>
    <row r="108" spans="1:7">
      <c r="A108" t="s">
        <v>223</v>
      </c>
      <c r="B108">
        <v>9</v>
      </c>
      <c r="C108">
        <v>117</v>
      </c>
      <c r="D108" t="s">
        <v>224</v>
      </c>
      <c r="E108">
        <v>46307</v>
      </c>
      <c r="F108">
        <v>46325</v>
      </c>
    </row>
    <row r="109" spans="1:7">
      <c r="A109" t="s">
        <v>225</v>
      </c>
      <c r="B109">
        <v>9</v>
      </c>
      <c r="C109">
        <v>118</v>
      </c>
      <c r="D109" t="s">
        <v>226</v>
      </c>
      <c r="E109">
        <v>46307</v>
      </c>
      <c r="F109">
        <v>46325</v>
      </c>
    </row>
    <row r="110" spans="1:7">
      <c r="A110" t="s">
        <v>227</v>
      </c>
      <c r="B110">
        <v>9</v>
      </c>
      <c r="C110">
        <v>119</v>
      </c>
      <c r="D110" t="s">
        <v>228</v>
      </c>
      <c r="E110">
        <v>46307</v>
      </c>
      <c r="F110">
        <v>46325</v>
      </c>
    </row>
    <row r="111" spans="1:7">
      <c r="A111" t="s">
        <v>229</v>
      </c>
      <c r="B111">
        <v>3</v>
      </c>
      <c r="C111">
        <v>120</v>
      </c>
      <c r="D111" t="s">
        <v>230</v>
      </c>
      <c r="E111">
        <v>46118</v>
      </c>
      <c r="F111">
        <v>46325</v>
      </c>
    </row>
    <row r="112" spans="1:7">
      <c r="A112" t="s">
        <v>231</v>
      </c>
      <c r="B112">
        <v>5</v>
      </c>
      <c r="C112">
        <v>121</v>
      </c>
      <c r="D112" t="s">
        <v>232</v>
      </c>
      <c r="E112">
        <v>46118</v>
      </c>
      <c r="F112">
        <v>46295</v>
      </c>
    </row>
    <row r="113" spans="1:7">
      <c r="A113" t="s">
        <v>233</v>
      </c>
      <c r="B113">
        <v>5</v>
      </c>
      <c r="C113">
        <v>122</v>
      </c>
      <c r="D113" t="s">
        <v>234</v>
      </c>
      <c r="E113">
        <v>46174</v>
      </c>
      <c r="F113">
        <v>46262</v>
      </c>
    </row>
    <row r="114" spans="1:7">
      <c r="A114" t="s">
        <v>235</v>
      </c>
      <c r="B114">
        <v>5</v>
      </c>
      <c r="C114">
        <v>123</v>
      </c>
      <c r="D114" t="s">
        <v>236</v>
      </c>
      <c r="E114">
        <v>46202</v>
      </c>
      <c r="F114">
        <v>46325</v>
      </c>
    </row>
    <row r="115" spans="1:7">
      <c r="A115" t="s">
        <v>237</v>
      </c>
      <c r="B115">
        <v>3</v>
      </c>
      <c r="C115">
        <v>124</v>
      </c>
      <c r="D115" t="s">
        <v>238</v>
      </c>
      <c r="E115">
        <v>46265</v>
      </c>
      <c r="F115">
        <v>46325</v>
      </c>
    </row>
    <row r="116" spans="1:7">
      <c r="A116" t="s">
        <v>239</v>
      </c>
      <c r="B116">
        <v>5</v>
      </c>
      <c r="C116">
        <v>125</v>
      </c>
      <c r="D116" t="s">
        <v>240</v>
      </c>
      <c r="E116">
        <v>46265</v>
      </c>
      <c r="F116">
        <v>46295</v>
      </c>
    </row>
    <row r="117" spans="1:7">
      <c r="A117" t="s">
        <v>241</v>
      </c>
      <c r="B117">
        <v>5</v>
      </c>
      <c r="C117">
        <v>126</v>
      </c>
      <c r="D117" t="s">
        <v>242</v>
      </c>
      <c r="E117">
        <v>46301</v>
      </c>
      <c r="F117">
        <v>46325</v>
      </c>
    </row>
    <row r="118" spans="1:7">
      <c r="A118" t="s">
        <v>243</v>
      </c>
      <c r="B118">
        <v>5</v>
      </c>
      <c r="C118">
        <v>127</v>
      </c>
      <c r="D118" t="s">
        <v>244</v>
      </c>
      <c r="E118">
        <v>46301</v>
      </c>
      <c r="F118">
        <v>46325</v>
      </c>
    </row>
    <row r="119" spans="1:7">
      <c r="A119" t="s">
        <v>245</v>
      </c>
      <c r="B119">
        <v>3</v>
      </c>
      <c r="C119">
        <v>128</v>
      </c>
      <c r="D119" t="s">
        <v>246</v>
      </c>
      <c r="E119">
        <v>46195</v>
      </c>
      <c r="F119">
        <v>46227</v>
      </c>
    </row>
    <row r="120" spans="1:7">
      <c r="A120" t="s">
        <v>247</v>
      </c>
      <c r="B120">
        <v>5</v>
      </c>
      <c r="C120">
        <v>129</v>
      </c>
      <c r="D120" t="s">
        <v>248</v>
      </c>
      <c r="E120">
        <v>46195</v>
      </c>
      <c r="F120">
        <v>46213</v>
      </c>
    </row>
    <row r="121" spans="1:7">
      <c r="A121" t="s">
        <v>249</v>
      </c>
      <c r="B121">
        <v>5</v>
      </c>
      <c r="C121">
        <v>192</v>
      </c>
      <c r="D121" t="s">
        <v>250</v>
      </c>
      <c r="E121">
        <v>46209</v>
      </c>
      <c r="F121">
        <v>46227</v>
      </c>
      <c r="G121" t="s">
        <v>43</v>
      </c>
    </row>
    <row r="122" spans="1:7">
      <c r="A122" t="s">
        <v>251</v>
      </c>
      <c r="B122">
        <v>5</v>
      </c>
      <c r="C122">
        <v>130</v>
      </c>
      <c r="D122" t="s">
        <v>252</v>
      </c>
      <c r="E122">
        <v>46195</v>
      </c>
      <c r="F122">
        <v>46213</v>
      </c>
    </row>
    <row r="123" spans="1:7">
      <c r="A123" t="s">
        <v>253</v>
      </c>
      <c r="B123">
        <v>5</v>
      </c>
      <c r="C123">
        <v>191</v>
      </c>
      <c r="D123" t="s">
        <v>254</v>
      </c>
      <c r="E123">
        <v>46209</v>
      </c>
      <c r="F123">
        <v>46227</v>
      </c>
    </row>
    <row r="124" spans="1:7">
      <c r="A124" t="s">
        <v>255</v>
      </c>
      <c r="B124">
        <v>3</v>
      </c>
      <c r="C124">
        <v>133</v>
      </c>
      <c r="D124" t="s">
        <v>256</v>
      </c>
      <c r="E124">
        <v>46174</v>
      </c>
      <c r="F124">
        <v>46325</v>
      </c>
    </row>
    <row r="125" spans="1:7">
      <c r="A125" t="s">
        <v>257</v>
      </c>
      <c r="B125">
        <v>5</v>
      </c>
      <c r="C125">
        <v>134</v>
      </c>
      <c r="D125" t="s">
        <v>258</v>
      </c>
      <c r="E125">
        <v>46174</v>
      </c>
      <c r="F125">
        <v>46185</v>
      </c>
    </row>
    <row r="126" spans="1:7">
      <c r="A126" t="s">
        <v>259</v>
      </c>
      <c r="B126">
        <v>5</v>
      </c>
      <c r="C126">
        <v>200</v>
      </c>
      <c r="D126" t="s">
        <v>260</v>
      </c>
      <c r="E126">
        <v>46188</v>
      </c>
      <c r="F126">
        <v>46192</v>
      </c>
    </row>
    <row r="127" spans="1:7">
      <c r="A127" t="s">
        <v>261</v>
      </c>
      <c r="B127">
        <v>5</v>
      </c>
      <c r="C127">
        <v>201</v>
      </c>
      <c r="D127" t="s">
        <v>262</v>
      </c>
      <c r="E127">
        <v>46195</v>
      </c>
      <c r="F127">
        <v>46213</v>
      </c>
    </row>
    <row r="128" spans="1:7">
      <c r="A128" t="s">
        <v>263</v>
      </c>
      <c r="B128">
        <v>5</v>
      </c>
      <c r="C128">
        <v>202</v>
      </c>
      <c r="D128" t="s">
        <v>264</v>
      </c>
      <c r="E128">
        <v>46204</v>
      </c>
      <c r="F128">
        <v>46213</v>
      </c>
    </row>
    <row r="129" spans="1:6">
      <c r="A129" t="s">
        <v>265</v>
      </c>
      <c r="B129">
        <v>5</v>
      </c>
      <c r="C129">
        <v>203</v>
      </c>
      <c r="D129" t="s">
        <v>266</v>
      </c>
      <c r="E129">
        <v>46216</v>
      </c>
      <c r="F129">
        <v>46227</v>
      </c>
    </row>
    <row r="130" spans="1:6">
      <c r="A130" t="s">
        <v>267</v>
      </c>
      <c r="B130">
        <v>5</v>
      </c>
      <c r="C130">
        <v>135</v>
      </c>
      <c r="D130" t="s">
        <v>268</v>
      </c>
      <c r="E130">
        <v>46230</v>
      </c>
      <c r="F130">
        <v>46248</v>
      </c>
    </row>
    <row r="131" spans="1:6">
      <c r="A131" t="s">
        <v>269</v>
      </c>
      <c r="B131">
        <v>5</v>
      </c>
      <c r="C131">
        <v>205</v>
      </c>
      <c r="D131" t="s">
        <v>270</v>
      </c>
      <c r="E131">
        <v>46252</v>
      </c>
      <c r="F131">
        <v>46262</v>
      </c>
    </row>
    <row r="132" spans="1:6">
      <c r="A132" t="s">
        <v>271</v>
      </c>
      <c r="B132">
        <v>5</v>
      </c>
      <c r="C132">
        <v>206</v>
      </c>
      <c r="D132" t="s">
        <v>272</v>
      </c>
      <c r="E132">
        <v>46265</v>
      </c>
      <c r="F132">
        <v>46311</v>
      </c>
    </row>
    <row r="133" spans="1:6">
      <c r="A133" t="s">
        <v>273</v>
      </c>
      <c r="B133">
        <v>5</v>
      </c>
      <c r="C133">
        <v>207</v>
      </c>
      <c r="D133" t="s">
        <v>274</v>
      </c>
      <c r="E133">
        <v>46296</v>
      </c>
      <c r="F133">
        <v>46311</v>
      </c>
    </row>
    <row r="134" spans="1:6">
      <c r="A134" t="s">
        <v>275</v>
      </c>
      <c r="B134">
        <v>6</v>
      </c>
      <c r="C134">
        <v>208</v>
      </c>
      <c r="D134" t="s">
        <v>276</v>
      </c>
      <c r="E134">
        <v>46314</v>
      </c>
      <c r="F134">
        <v>46325</v>
      </c>
    </row>
    <row r="135" spans="1:6">
      <c r="A135" t="s">
        <v>277</v>
      </c>
      <c r="B135">
        <v>3</v>
      </c>
      <c r="C135">
        <v>253</v>
      </c>
      <c r="D135" t="s">
        <v>278</v>
      </c>
      <c r="E135">
        <v>46202</v>
      </c>
      <c r="F135">
        <v>46283</v>
      </c>
    </row>
    <row r="136" spans="1:6">
      <c r="A136" t="s">
        <v>279</v>
      </c>
      <c r="B136">
        <v>5</v>
      </c>
      <c r="C136">
        <v>254</v>
      </c>
      <c r="D136" t="s">
        <v>280</v>
      </c>
      <c r="E136">
        <v>46202</v>
      </c>
      <c r="F136">
        <v>46219</v>
      </c>
    </row>
    <row r="137" spans="1:6">
      <c r="A137" t="s">
        <v>281</v>
      </c>
      <c r="B137">
        <v>5</v>
      </c>
      <c r="C137">
        <v>255</v>
      </c>
      <c r="D137" t="s">
        <v>282</v>
      </c>
      <c r="E137">
        <v>46223</v>
      </c>
      <c r="F137">
        <v>46234</v>
      </c>
    </row>
    <row r="138" spans="1:6">
      <c r="A138" t="s">
        <v>283</v>
      </c>
      <c r="B138">
        <v>5</v>
      </c>
      <c r="C138">
        <v>256</v>
      </c>
      <c r="D138" t="s">
        <v>284</v>
      </c>
      <c r="E138">
        <v>46237</v>
      </c>
      <c r="F138">
        <v>46255</v>
      </c>
    </row>
    <row r="139" spans="1:6">
      <c r="A139" t="s">
        <v>285</v>
      </c>
      <c r="B139">
        <v>5</v>
      </c>
      <c r="C139">
        <v>257</v>
      </c>
      <c r="D139" t="s">
        <v>286</v>
      </c>
      <c r="E139">
        <v>46258</v>
      </c>
      <c r="F139">
        <v>46269</v>
      </c>
    </row>
    <row r="140" spans="1:6">
      <c r="A140" t="s">
        <v>287</v>
      </c>
      <c r="B140">
        <v>5</v>
      </c>
      <c r="C140">
        <v>258</v>
      </c>
      <c r="D140" t="s">
        <v>288</v>
      </c>
      <c r="E140">
        <v>46272</v>
      </c>
      <c r="F140">
        <v>46283</v>
      </c>
    </row>
    <row r="141" spans="1:6">
      <c r="A141" t="s">
        <v>289</v>
      </c>
      <c r="B141">
        <v>3</v>
      </c>
      <c r="C141">
        <v>136</v>
      </c>
      <c r="D141" t="s">
        <v>290</v>
      </c>
      <c r="E141">
        <v>46296</v>
      </c>
      <c r="F141">
        <v>46325</v>
      </c>
    </row>
    <row r="142" spans="1:6">
      <c r="A142" t="s">
        <v>291</v>
      </c>
      <c r="B142">
        <v>5</v>
      </c>
      <c r="C142">
        <v>137</v>
      </c>
      <c r="D142" t="s">
        <v>292</v>
      </c>
      <c r="E142">
        <v>46296</v>
      </c>
      <c r="F142">
        <v>46303</v>
      </c>
    </row>
    <row r="143" spans="1:6">
      <c r="A143" t="s">
        <v>293</v>
      </c>
      <c r="B143">
        <v>5</v>
      </c>
      <c r="C143">
        <v>209</v>
      </c>
      <c r="D143" t="s">
        <v>294</v>
      </c>
      <c r="E143">
        <v>46307</v>
      </c>
      <c r="F143">
        <v>46311</v>
      </c>
    </row>
    <row r="144" spans="1:6">
      <c r="A144" t="s">
        <v>295</v>
      </c>
      <c r="B144">
        <v>5</v>
      </c>
      <c r="C144">
        <v>138</v>
      </c>
      <c r="D144" t="s">
        <v>296</v>
      </c>
      <c r="E144">
        <v>46314</v>
      </c>
      <c r="F144">
        <v>46318</v>
      </c>
    </row>
    <row r="145" spans="1:7">
      <c r="A145" t="s">
        <v>297</v>
      </c>
      <c r="B145">
        <v>5</v>
      </c>
      <c r="C145">
        <v>210</v>
      </c>
      <c r="D145" t="s">
        <v>298</v>
      </c>
      <c r="E145">
        <v>46321</v>
      </c>
      <c r="F145">
        <v>46325</v>
      </c>
    </row>
    <row r="146" spans="1:7">
      <c r="A146" t="s">
        <v>299</v>
      </c>
      <c r="B146">
        <v>3</v>
      </c>
      <c r="C146">
        <v>139</v>
      </c>
      <c r="D146" t="s">
        <v>300</v>
      </c>
      <c r="E146">
        <v>46314</v>
      </c>
      <c r="F146">
        <v>46325</v>
      </c>
    </row>
    <row r="147" spans="1:7">
      <c r="A147" t="s">
        <v>301</v>
      </c>
      <c r="B147">
        <v>5</v>
      </c>
      <c r="C147">
        <v>140</v>
      </c>
      <c r="D147" t="s">
        <v>302</v>
      </c>
      <c r="E147">
        <v>46314</v>
      </c>
      <c r="F147">
        <v>46315</v>
      </c>
      <c r="G147" t="s">
        <v>303</v>
      </c>
    </row>
    <row r="148" spans="1:7">
      <c r="A148" t="s">
        <v>304</v>
      </c>
      <c r="B148">
        <v>5</v>
      </c>
      <c r="C148">
        <v>141</v>
      </c>
      <c r="D148" t="s">
        <v>305</v>
      </c>
      <c r="E148">
        <v>46314</v>
      </c>
      <c r="F148">
        <v>46315</v>
      </c>
      <c r="G148" t="s">
        <v>306</v>
      </c>
    </row>
    <row r="149" spans="1:7">
      <c r="A149" t="s">
        <v>307</v>
      </c>
      <c r="B149">
        <v>5</v>
      </c>
      <c r="C149">
        <v>142</v>
      </c>
      <c r="D149" t="s">
        <v>308</v>
      </c>
      <c r="E149">
        <v>46316</v>
      </c>
      <c r="F149">
        <v>46318</v>
      </c>
    </row>
    <row r="150" spans="1:7">
      <c r="A150" t="s">
        <v>309</v>
      </c>
      <c r="B150">
        <v>5</v>
      </c>
      <c r="C150">
        <v>143</v>
      </c>
      <c r="D150" t="s">
        <v>310</v>
      </c>
      <c r="E150">
        <v>46321</v>
      </c>
      <c r="F150">
        <v>46325</v>
      </c>
    </row>
    <row r="151" spans="1:7">
      <c r="A151" t="s">
        <v>311</v>
      </c>
      <c r="B151">
        <v>5</v>
      </c>
      <c r="C151">
        <v>187</v>
      </c>
      <c r="D151" t="s">
        <v>312</v>
      </c>
      <c r="E151">
        <v>46321</v>
      </c>
      <c r="F151">
        <v>46325</v>
      </c>
    </row>
    <row r="152" spans="1:7">
      <c r="A152" t="s">
        <v>313</v>
      </c>
      <c r="B152">
        <v>5</v>
      </c>
      <c r="C152">
        <v>188</v>
      </c>
      <c r="D152" t="s">
        <v>314</v>
      </c>
      <c r="E152">
        <v>46321</v>
      </c>
      <c r="F152">
        <v>46325</v>
      </c>
    </row>
    <row r="153" spans="1:7">
      <c r="A153" t="s">
        <v>315</v>
      </c>
      <c r="B153">
        <v>1</v>
      </c>
      <c r="C153">
        <v>144</v>
      </c>
      <c r="D153" t="s">
        <v>316</v>
      </c>
      <c r="E153">
        <v>46296</v>
      </c>
      <c r="F153">
        <v>46633</v>
      </c>
    </row>
    <row r="154" spans="1:7">
      <c r="A154" t="s">
        <v>317</v>
      </c>
      <c r="B154">
        <v>3</v>
      </c>
      <c r="C154">
        <v>145</v>
      </c>
      <c r="D154" t="s">
        <v>318</v>
      </c>
      <c r="E154">
        <v>46328</v>
      </c>
      <c r="F154">
        <v>46598</v>
      </c>
    </row>
    <row r="155" spans="1:7">
      <c r="A155" t="s">
        <v>319</v>
      </c>
      <c r="B155">
        <v>5</v>
      </c>
      <c r="C155">
        <v>146</v>
      </c>
      <c r="D155" t="s">
        <v>320</v>
      </c>
      <c r="E155">
        <v>46328</v>
      </c>
      <c r="F155">
        <v>46437</v>
      </c>
    </row>
    <row r="156" spans="1:7">
      <c r="A156" t="s">
        <v>321</v>
      </c>
      <c r="B156">
        <v>5</v>
      </c>
      <c r="C156">
        <v>211</v>
      </c>
      <c r="D156" t="s">
        <v>322</v>
      </c>
      <c r="E156">
        <v>46440</v>
      </c>
      <c r="F156">
        <v>46598</v>
      </c>
    </row>
    <row r="157" spans="1:7">
      <c r="A157" t="s">
        <v>323</v>
      </c>
      <c r="B157">
        <v>3</v>
      </c>
      <c r="C157">
        <v>148</v>
      </c>
      <c r="D157" t="s">
        <v>324</v>
      </c>
      <c r="E157">
        <v>46328</v>
      </c>
      <c r="F157">
        <v>46598</v>
      </c>
    </row>
    <row r="158" spans="1:7">
      <c r="A158" t="s">
        <v>325</v>
      </c>
      <c r="B158">
        <v>5</v>
      </c>
      <c r="C158">
        <v>149</v>
      </c>
      <c r="D158" t="s">
        <v>326</v>
      </c>
      <c r="E158">
        <v>46328</v>
      </c>
      <c r="F158">
        <v>46437</v>
      </c>
    </row>
    <row r="159" spans="1:7">
      <c r="A159" t="s">
        <v>327</v>
      </c>
      <c r="B159">
        <v>5</v>
      </c>
      <c r="C159">
        <v>212</v>
      </c>
      <c r="D159" t="s">
        <v>328</v>
      </c>
      <c r="E159">
        <v>46440</v>
      </c>
      <c r="F159">
        <v>46598</v>
      </c>
    </row>
    <row r="160" spans="1:7">
      <c r="A160" t="s">
        <v>329</v>
      </c>
      <c r="B160">
        <v>5</v>
      </c>
      <c r="C160">
        <v>150</v>
      </c>
      <c r="D160" t="s">
        <v>330</v>
      </c>
      <c r="E160">
        <v>46328</v>
      </c>
      <c r="F160">
        <v>46437</v>
      </c>
    </row>
    <row r="161" spans="1:6">
      <c r="A161" t="s">
        <v>331</v>
      </c>
      <c r="B161">
        <v>5</v>
      </c>
      <c r="C161">
        <v>213</v>
      </c>
      <c r="D161" t="s">
        <v>332</v>
      </c>
      <c r="E161">
        <v>46440</v>
      </c>
      <c r="F161">
        <v>46598</v>
      </c>
    </row>
    <row r="162" spans="1:6">
      <c r="A162" t="s">
        <v>333</v>
      </c>
      <c r="B162">
        <v>5</v>
      </c>
      <c r="C162">
        <v>151</v>
      </c>
      <c r="D162" t="s">
        <v>334</v>
      </c>
      <c r="E162">
        <v>46328</v>
      </c>
      <c r="F162">
        <v>46437</v>
      </c>
    </row>
    <row r="163" spans="1:6">
      <c r="A163" t="s">
        <v>335</v>
      </c>
      <c r="B163">
        <v>5</v>
      </c>
      <c r="C163">
        <v>214</v>
      </c>
      <c r="D163" t="s">
        <v>336</v>
      </c>
      <c r="E163">
        <v>46440</v>
      </c>
      <c r="F163">
        <v>46598</v>
      </c>
    </row>
    <row r="164" spans="1:6">
      <c r="A164" t="s">
        <v>337</v>
      </c>
      <c r="B164">
        <v>3</v>
      </c>
      <c r="C164">
        <v>152</v>
      </c>
      <c r="D164" t="s">
        <v>338</v>
      </c>
      <c r="E164">
        <v>46296</v>
      </c>
      <c r="F164">
        <v>46387</v>
      </c>
    </row>
    <row r="165" spans="1:6">
      <c r="A165" t="s">
        <v>339</v>
      </c>
      <c r="B165">
        <v>5</v>
      </c>
      <c r="C165">
        <v>153</v>
      </c>
      <c r="D165" t="s">
        <v>340</v>
      </c>
      <c r="E165">
        <v>46296</v>
      </c>
      <c r="F165">
        <v>46311</v>
      </c>
    </row>
    <row r="166" spans="1:6">
      <c r="A166" t="s">
        <v>341</v>
      </c>
      <c r="B166">
        <v>5</v>
      </c>
      <c r="C166">
        <v>215</v>
      </c>
      <c r="D166" t="s">
        <v>342</v>
      </c>
      <c r="E166">
        <v>46314</v>
      </c>
      <c r="F166">
        <v>46325</v>
      </c>
    </row>
    <row r="167" spans="1:6">
      <c r="A167" t="s">
        <v>343</v>
      </c>
      <c r="B167">
        <v>5</v>
      </c>
      <c r="C167">
        <v>216</v>
      </c>
      <c r="D167" t="s">
        <v>344</v>
      </c>
      <c r="E167">
        <v>46328</v>
      </c>
      <c r="F167">
        <v>46367</v>
      </c>
    </row>
    <row r="168" spans="1:6">
      <c r="A168" t="s">
        <v>345</v>
      </c>
      <c r="B168">
        <v>5</v>
      </c>
      <c r="C168">
        <v>217</v>
      </c>
      <c r="D168" t="s">
        <v>346</v>
      </c>
      <c r="E168">
        <v>46357</v>
      </c>
      <c r="F168">
        <v>46367</v>
      </c>
    </row>
    <row r="169" spans="1:6">
      <c r="A169" t="s">
        <v>347</v>
      </c>
      <c r="B169">
        <v>5</v>
      </c>
      <c r="C169">
        <v>218</v>
      </c>
      <c r="D169" t="s">
        <v>348</v>
      </c>
      <c r="E169">
        <v>46370</v>
      </c>
      <c r="F169">
        <v>46387</v>
      </c>
    </row>
    <row r="170" spans="1:6">
      <c r="A170" t="s">
        <v>349</v>
      </c>
      <c r="B170">
        <v>3</v>
      </c>
      <c r="C170">
        <v>154</v>
      </c>
      <c r="D170" t="s">
        <v>350</v>
      </c>
      <c r="E170">
        <v>46357</v>
      </c>
      <c r="F170">
        <v>46465</v>
      </c>
    </row>
    <row r="171" spans="1:6">
      <c r="A171" t="s">
        <v>351</v>
      </c>
      <c r="B171">
        <v>5</v>
      </c>
      <c r="C171">
        <v>155</v>
      </c>
      <c r="D171" t="s">
        <v>352</v>
      </c>
      <c r="E171">
        <v>46357</v>
      </c>
      <c r="F171">
        <v>46367</v>
      </c>
    </row>
    <row r="172" spans="1:6">
      <c r="A172" t="s">
        <v>353</v>
      </c>
      <c r="B172">
        <v>5</v>
      </c>
      <c r="C172">
        <v>219</v>
      </c>
      <c r="D172" t="s">
        <v>354</v>
      </c>
      <c r="E172">
        <v>46370</v>
      </c>
      <c r="F172">
        <v>46380</v>
      </c>
    </row>
    <row r="173" spans="1:6">
      <c r="A173" t="s">
        <v>355</v>
      </c>
      <c r="B173">
        <v>5</v>
      </c>
      <c r="C173">
        <v>220</v>
      </c>
      <c r="D173" t="s">
        <v>356</v>
      </c>
      <c r="E173">
        <v>46384</v>
      </c>
      <c r="F173">
        <v>46444</v>
      </c>
    </row>
    <row r="174" spans="1:6">
      <c r="A174" t="s">
        <v>357</v>
      </c>
      <c r="B174">
        <v>5</v>
      </c>
      <c r="C174">
        <v>221</v>
      </c>
      <c r="D174" t="s">
        <v>358</v>
      </c>
      <c r="E174">
        <v>46419</v>
      </c>
      <c r="F174">
        <v>46451</v>
      </c>
    </row>
    <row r="175" spans="1:6">
      <c r="A175" t="s">
        <v>359</v>
      </c>
      <c r="B175">
        <v>5</v>
      </c>
      <c r="C175">
        <v>222</v>
      </c>
      <c r="D175" t="s">
        <v>360</v>
      </c>
      <c r="E175">
        <v>46454</v>
      </c>
      <c r="F175">
        <v>46465</v>
      </c>
    </row>
    <row r="176" spans="1:6">
      <c r="A176" t="s">
        <v>361</v>
      </c>
      <c r="B176">
        <v>3</v>
      </c>
      <c r="C176">
        <v>248</v>
      </c>
      <c r="D176" t="s">
        <v>362</v>
      </c>
      <c r="E176">
        <v>46328</v>
      </c>
      <c r="F176">
        <v>46430</v>
      </c>
    </row>
    <row r="177" spans="1:6">
      <c r="A177" t="s">
        <v>363</v>
      </c>
      <c r="B177">
        <v>5</v>
      </c>
      <c r="C177">
        <v>249</v>
      </c>
      <c r="D177" t="s">
        <v>364</v>
      </c>
      <c r="E177">
        <v>46328</v>
      </c>
      <c r="F177">
        <v>46339</v>
      </c>
    </row>
    <row r="178" spans="1:6">
      <c r="A178" t="s">
        <v>365</v>
      </c>
      <c r="B178">
        <v>5</v>
      </c>
      <c r="C178">
        <v>250</v>
      </c>
      <c r="D178" t="s">
        <v>366</v>
      </c>
      <c r="E178">
        <v>46342</v>
      </c>
      <c r="F178">
        <v>46353</v>
      </c>
    </row>
    <row r="179" spans="1:6">
      <c r="A179" t="s">
        <v>367</v>
      </c>
      <c r="B179">
        <v>5</v>
      </c>
      <c r="C179">
        <v>251</v>
      </c>
      <c r="D179" t="s">
        <v>368</v>
      </c>
      <c r="E179">
        <v>46356</v>
      </c>
      <c r="F179">
        <v>46387</v>
      </c>
    </row>
    <row r="180" spans="1:6">
      <c r="A180" t="s">
        <v>369</v>
      </c>
      <c r="B180">
        <v>5</v>
      </c>
      <c r="C180">
        <v>252</v>
      </c>
      <c r="D180" t="s">
        <v>370</v>
      </c>
      <c r="E180">
        <v>46391</v>
      </c>
      <c r="F180">
        <v>46409</v>
      </c>
    </row>
    <row r="181" spans="1:6">
      <c r="A181" t="s">
        <v>371</v>
      </c>
      <c r="B181">
        <v>5</v>
      </c>
      <c r="C181">
        <v>259</v>
      </c>
      <c r="D181" t="s">
        <v>372</v>
      </c>
      <c r="E181">
        <v>46412</v>
      </c>
      <c r="F181">
        <v>46430</v>
      </c>
    </row>
    <row r="182" spans="1:6">
      <c r="A182" t="s">
        <v>373</v>
      </c>
      <c r="B182">
        <v>3</v>
      </c>
      <c r="C182">
        <v>156</v>
      </c>
      <c r="D182" t="s">
        <v>374</v>
      </c>
      <c r="E182">
        <v>46419</v>
      </c>
      <c r="F182">
        <v>46444</v>
      </c>
    </row>
    <row r="183" spans="1:6">
      <c r="A183" t="s">
        <v>375</v>
      </c>
      <c r="B183">
        <v>5</v>
      </c>
      <c r="C183">
        <v>157</v>
      </c>
      <c r="D183" t="s">
        <v>376</v>
      </c>
      <c r="E183">
        <v>46419</v>
      </c>
      <c r="F183">
        <v>46423</v>
      </c>
    </row>
    <row r="184" spans="1:6">
      <c r="A184" t="s">
        <v>377</v>
      </c>
      <c r="B184">
        <v>5</v>
      </c>
      <c r="C184">
        <v>223</v>
      </c>
      <c r="D184" t="s">
        <v>378</v>
      </c>
      <c r="E184">
        <v>46428</v>
      </c>
      <c r="F184">
        <v>46430</v>
      </c>
    </row>
    <row r="185" spans="1:6">
      <c r="A185" t="s">
        <v>379</v>
      </c>
      <c r="B185">
        <v>5</v>
      </c>
      <c r="C185">
        <v>224</v>
      </c>
      <c r="D185" t="s">
        <v>374</v>
      </c>
      <c r="E185">
        <v>46433</v>
      </c>
      <c r="F185">
        <v>46437</v>
      </c>
    </row>
    <row r="186" spans="1:6">
      <c r="A186" t="s">
        <v>380</v>
      </c>
      <c r="B186">
        <v>5</v>
      </c>
      <c r="C186">
        <v>225</v>
      </c>
      <c r="D186" t="s">
        <v>381</v>
      </c>
      <c r="E186">
        <v>46440</v>
      </c>
      <c r="F186">
        <v>46444</v>
      </c>
    </row>
    <row r="187" spans="1:6">
      <c r="A187" t="s">
        <v>382</v>
      </c>
      <c r="B187">
        <v>5</v>
      </c>
      <c r="C187">
        <v>226</v>
      </c>
      <c r="D187" t="s">
        <v>383</v>
      </c>
      <c r="E187">
        <v>46440</v>
      </c>
      <c r="F187">
        <v>46444</v>
      </c>
    </row>
    <row r="188" spans="1:6">
      <c r="A188" t="s">
        <v>384</v>
      </c>
      <c r="B188">
        <v>5</v>
      </c>
      <c r="C188">
        <v>158</v>
      </c>
      <c r="D188" t="s">
        <v>385</v>
      </c>
      <c r="E188">
        <v>46419</v>
      </c>
      <c r="F188">
        <v>46423</v>
      </c>
    </row>
    <row r="189" spans="1:6">
      <c r="A189" t="s">
        <v>386</v>
      </c>
      <c r="B189">
        <v>5</v>
      </c>
      <c r="C189">
        <v>227</v>
      </c>
      <c r="D189" t="s">
        <v>387</v>
      </c>
      <c r="E189">
        <v>46428</v>
      </c>
      <c r="F189">
        <v>46430</v>
      </c>
    </row>
    <row r="190" spans="1:6">
      <c r="A190" t="s">
        <v>388</v>
      </c>
      <c r="B190">
        <v>5</v>
      </c>
      <c r="C190">
        <v>228</v>
      </c>
      <c r="D190" t="s">
        <v>389</v>
      </c>
      <c r="E190">
        <v>46433</v>
      </c>
      <c r="F190">
        <v>46437</v>
      </c>
    </row>
    <row r="191" spans="1:6">
      <c r="A191" t="s">
        <v>390</v>
      </c>
      <c r="B191">
        <v>5</v>
      </c>
      <c r="C191">
        <v>229</v>
      </c>
      <c r="D191" t="s">
        <v>391</v>
      </c>
      <c r="E191">
        <v>46440</v>
      </c>
      <c r="F191">
        <v>46444</v>
      </c>
    </row>
    <row r="192" spans="1:6">
      <c r="A192" t="s">
        <v>392</v>
      </c>
      <c r="B192">
        <v>3</v>
      </c>
      <c r="C192">
        <v>159</v>
      </c>
      <c r="D192" t="s">
        <v>393</v>
      </c>
      <c r="E192">
        <v>46448</v>
      </c>
      <c r="F192">
        <v>46535</v>
      </c>
    </row>
    <row r="193" spans="1:7">
      <c r="A193" t="s">
        <v>394</v>
      </c>
      <c r="B193">
        <v>5</v>
      </c>
      <c r="C193">
        <v>160</v>
      </c>
      <c r="D193" t="s">
        <v>395</v>
      </c>
      <c r="E193">
        <v>46448</v>
      </c>
      <c r="F193">
        <v>46458</v>
      </c>
    </row>
    <row r="194" spans="1:7">
      <c r="A194" t="s">
        <v>396</v>
      </c>
      <c r="B194">
        <v>5</v>
      </c>
      <c r="C194">
        <v>230</v>
      </c>
      <c r="D194" t="s">
        <v>397</v>
      </c>
      <c r="E194">
        <v>46461</v>
      </c>
      <c r="F194">
        <v>46472</v>
      </c>
    </row>
    <row r="195" spans="1:7">
      <c r="A195" t="s">
        <v>398</v>
      </c>
      <c r="B195">
        <v>5</v>
      </c>
      <c r="C195">
        <v>231</v>
      </c>
      <c r="D195" t="s">
        <v>393</v>
      </c>
      <c r="E195">
        <v>46475</v>
      </c>
      <c r="F195">
        <v>46493</v>
      </c>
    </row>
    <row r="196" spans="1:7">
      <c r="A196" t="s">
        <v>399</v>
      </c>
      <c r="B196">
        <v>5</v>
      </c>
      <c r="C196">
        <v>232</v>
      </c>
      <c r="D196" t="s">
        <v>400</v>
      </c>
      <c r="E196">
        <v>46496</v>
      </c>
      <c r="F196">
        <v>46521</v>
      </c>
    </row>
    <row r="197" spans="1:7">
      <c r="A197" t="s">
        <v>401</v>
      </c>
      <c r="B197">
        <v>5</v>
      </c>
      <c r="C197">
        <v>233</v>
      </c>
      <c r="D197" t="s">
        <v>402</v>
      </c>
      <c r="E197">
        <v>46524</v>
      </c>
      <c r="F197">
        <v>46535</v>
      </c>
    </row>
    <row r="198" spans="1:7">
      <c r="A198" t="s">
        <v>403</v>
      </c>
      <c r="B198">
        <v>3</v>
      </c>
      <c r="C198">
        <v>161</v>
      </c>
      <c r="D198" t="s">
        <v>404</v>
      </c>
      <c r="E198">
        <v>46419</v>
      </c>
      <c r="F198">
        <v>46598</v>
      </c>
    </row>
    <row r="199" spans="1:7">
      <c r="A199" t="s">
        <v>405</v>
      </c>
      <c r="B199">
        <v>5</v>
      </c>
      <c r="C199">
        <v>162</v>
      </c>
      <c r="D199" t="s">
        <v>406</v>
      </c>
      <c r="E199">
        <v>46419</v>
      </c>
      <c r="F199">
        <v>46437</v>
      </c>
      <c r="G199" t="s">
        <v>407</v>
      </c>
    </row>
    <row r="200" spans="1:7">
      <c r="A200" t="s">
        <v>408</v>
      </c>
      <c r="B200">
        <v>5</v>
      </c>
      <c r="C200">
        <v>163</v>
      </c>
      <c r="D200" t="s">
        <v>409</v>
      </c>
      <c r="E200">
        <v>46419</v>
      </c>
      <c r="F200">
        <v>46437</v>
      </c>
    </row>
    <row r="201" spans="1:7">
      <c r="A201" t="s">
        <v>410</v>
      </c>
      <c r="B201">
        <v>5</v>
      </c>
      <c r="C201">
        <v>164</v>
      </c>
      <c r="D201" t="s">
        <v>411</v>
      </c>
      <c r="E201">
        <v>46440</v>
      </c>
      <c r="F201">
        <v>46598</v>
      </c>
    </row>
    <row r="202" spans="1:7">
      <c r="A202" t="s">
        <v>412</v>
      </c>
      <c r="B202">
        <v>3</v>
      </c>
      <c r="C202">
        <v>165</v>
      </c>
      <c r="D202" t="s">
        <v>413</v>
      </c>
      <c r="E202">
        <v>46448</v>
      </c>
      <c r="F202">
        <v>46633</v>
      </c>
    </row>
    <row r="203" spans="1:7">
      <c r="A203" t="s">
        <v>414</v>
      </c>
      <c r="B203">
        <v>5</v>
      </c>
      <c r="C203">
        <v>166</v>
      </c>
      <c r="D203" t="s">
        <v>415</v>
      </c>
      <c r="E203">
        <v>46448</v>
      </c>
      <c r="F203">
        <v>46472</v>
      </c>
    </row>
    <row r="204" spans="1:7">
      <c r="A204" t="s">
        <v>416</v>
      </c>
      <c r="B204">
        <v>5</v>
      </c>
      <c r="C204">
        <v>182</v>
      </c>
      <c r="D204" t="s">
        <v>417</v>
      </c>
      <c r="E204">
        <v>46482</v>
      </c>
      <c r="F204">
        <v>46507</v>
      </c>
    </row>
    <row r="205" spans="1:7">
      <c r="A205" t="s">
        <v>418</v>
      </c>
      <c r="B205">
        <v>5</v>
      </c>
      <c r="C205">
        <v>183</v>
      </c>
      <c r="D205" t="s">
        <v>419</v>
      </c>
      <c r="E205">
        <v>46510</v>
      </c>
      <c r="F205">
        <v>46535</v>
      </c>
    </row>
    <row r="206" spans="1:7">
      <c r="A206" t="s">
        <v>420</v>
      </c>
      <c r="B206">
        <v>5</v>
      </c>
      <c r="C206">
        <v>184</v>
      </c>
      <c r="D206" t="s">
        <v>421</v>
      </c>
      <c r="E206">
        <v>46538</v>
      </c>
      <c r="F206">
        <v>46563</v>
      </c>
    </row>
    <row r="207" spans="1:7">
      <c r="A207" t="s">
        <v>422</v>
      </c>
      <c r="B207">
        <v>5</v>
      </c>
      <c r="C207">
        <v>185</v>
      </c>
      <c r="D207" t="s">
        <v>423</v>
      </c>
      <c r="E207">
        <v>46566</v>
      </c>
      <c r="F207">
        <v>46591</v>
      </c>
    </row>
    <row r="208" spans="1:7">
      <c r="A208" t="s">
        <v>424</v>
      </c>
      <c r="B208">
        <v>5</v>
      </c>
      <c r="C208">
        <v>167</v>
      </c>
      <c r="D208" t="s">
        <v>425</v>
      </c>
      <c r="E208">
        <v>46538</v>
      </c>
      <c r="F208">
        <v>46563</v>
      </c>
    </row>
    <row r="209" spans="1:7">
      <c r="A209" t="s">
        <v>426</v>
      </c>
      <c r="B209">
        <v>5</v>
      </c>
      <c r="C209">
        <v>186</v>
      </c>
      <c r="D209" t="s">
        <v>427</v>
      </c>
      <c r="E209">
        <v>46566</v>
      </c>
      <c r="F209">
        <v>46591</v>
      </c>
    </row>
    <row r="210" spans="1:7">
      <c r="A210" t="s">
        <v>428</v>
      </c>
      <c r="B210">
        <v>5</v>
      </c>
      <c r="C210">
        <v>168</v>
      </c>
      <c r="D210" t="s">
        <v>429</v>
      </c>
      <c r="E210">
        <v>46601</v>
      </c>
      <c r="F210">
        <v>46633</v>
      </c>
    </row>
    <row r="211" spans="1:7">
      <c r="A211" t="s">
        <v>430</v>
      </c>
      <c r="B211">
        <v>4</v>
      </c>
      <c r="C211">
        <v>169</v>
      </c>
      <c r="D211" t="s">
        <v>431</v>
      </c>
      <c r="E211">
        <v>46448</v>
      </c>
      <c r="F211">
        <v>46584</v>
      </c>
    </row>
    <row r="212" spans="1:7">
      <c r="A212" t="s">
        <v>432</v>
      </c>
      <c r="B212">
        <v>6</v>
      </c>
      <c r="C212">
        <v>170</v>
      </c>
      <c r="D212" t="s">
        <v>433</v>
      </c>
      <c r="E212">
        <v>46448</v>
      </c>
      <c r="F212">
        <v>46458</v>
      </c>
      <c r="G212" t="s">
        <v>434</v>
      </c>
    </row>
    <row r="213" spans="1:7">
      <c r="A213" t="s">
        <v>435</v>
      </c>
      <c r="B213">
        <v>6</v>
      </c>
      <c r="C213">
        <v>234</v>
      </c>
      <c r="D213" t="s">
        <v>436</v>
      </c>
      <c r="E213">
        <v>46461</v>
      </c>
      <c r="F213">
        <v>46479</v>
      </c>
    </row>
    <row r="214" spans="1:7">
      <c r="A214" t="s">
        <v>437</v>
      </c>
      <c r="B214">
        <v>6</v>
      </c>
      <c r="C214">
        <v>235</v>
      </c>
      <c r="D214" t="s">
        <v>438</v>
      </c>
      <c r="E214">
        <v>46475</v>
      </c>
      <c r="F214">
        <v>46479</v>
      </c>
    </row>
    <row r="215" spans="1:7">
      <c r="A215" t="s">
        <v>439</v>
      </c>
      <c r="B215">
        <v>6</v>
      </c>
      <c r="C215">
        <v>236</v>
      </c>
      <c r="D215" t="s">
        <v>440</v>
      </c>
      <c r="E215">
        <v>46482</v>
      </c>
      <c r="F215">
        <v>46507</v>
      </c>
    </row>
    <row r="216" spans="1:7">
      <c r="A216" t="s">
        <v>441</v>
      </c>
      <c r="B216">
        <v>6</v>
      </c>
      <c r="C216">
        <v>237</v>
      </c>
      <c r="D216" t="s">
        <v>442</v>
      </c>
      <c r="E216">
        <v>46510</v>
      </c>
      <c r="F216">
        <v>46521</v>
      </c>
      <c r="G216" t="s">
        <v>443</v>
      </c>
    </row>
    <row r="217" spans="1:7">
      <c r="A217" t="s">
        <v>444</v>
      </c>
      <c r="B217">
        <v>6</v>
      </c>
      <c r="C217">
        <v>171</v>
      </c>
      <c r="D217" t="s">
        <v>445</v>
      </c>
      <c r="E217">
        <v>46496</v>
      </c>
      <c r="F217">
        <v>46507</v>
      </c>
      <c r="G217" t="s">
        <v>434</v>
      </c>
    </row>
    <row r="218" spans="1:7">
      <c r="A218" t="s">
        <v>446</v>
      </c>
      <c r="B218">
        <v>6</v>
      </c>
      <c r="C218">
        <v>238</v>
      </c>
      <c r="D218" t="s">
        <v>447</v>
      </c>
      <c r="E218">
        <v>46510</v>
      </c>
      <c r="F218">
        <v>46521</v>
      </c>
    </row>
    <row r="219" spans="1:7">
      <c r="A219" t="s">
        <v>448</v>
      </c>
      <c r="B219">
        <v>6</v>
      </c>
      <c r="C219">
        <v>239</v>
      </c>
      <c r="D219" t="s">
        <v>449</v>
      </c>
      <c r="E219">
        <v>46524</v>
      </c>
      <c r="F219">
        <v>46542</v>
      </c>
    </row>
    <row r="220" spans="1:7">
      <c r="A220" t="s">
        <v>450</v>
      </c>
      <c r="B220">
        <v>6</v>
      </c>
      <c r="C220">
        <v>240</v>
      </c>
      <c r="D220" t="s">
        <v>451</v>
      </c>
      <c r="E220">
        <v>46545</v>
      </c>
      <c r="F220">
        <v>46556</v>
      </c>
      <c r="G220" t="s">
        <v>452</v>
      </c>
    </row>
    <row r="221" spans="1:7">
      <c r="A221" t="s">
        <v>453</v>
      </c>
      <c r="B221">
        <v>7</v>
      </c>
      <c r="C221">
        <v>172</v>
      </c>
      <c r="D221" t="s">
        <v>454</v>
      </c>
      <c r="E221">
        <v>46517</v>
      </c>
      <c r="F221">
        <v>46528</v>
      </c>
      <c r="G221" t="s">
        <v>434</v>
      </c>
    </row>
    <row r="222" spans="1:7">
      <c r="A222" t="s">
        <v>455</v>
      </c>
      <c r="B222">
        <v>7</v>
      </c>
      <c r="C222">
        <v>241</v>
      </c>
      <c r="D222" t="s">
        <v>456</v>
      </c>
      <c r="E222">
        <v>46531</v>
      </c>
      <c r="F222">
        <v>46542</v>
      </c>
    </row>
    <row r="223" spans="1:7">
      <c r="A223" t="s">
        <v>457</v>
      </c>
      <c r="B223">
        <v>7</v>
      </c>
      <c r="C223">
        <v>242</v>
      </c>
      <c r="D223" t="s">
        <v>458</v>
      </c>
      <c r="E223">
        <v>46545</v>
      </c>
      <c r="F223">
        <v>46556</v>
      </c>
    </row>
    <row r="224" spans="1:7">
      <c r="A224" t="s">
        <v>459</v>
      </c>
      <c r="B224">
        <v>7</v>
      </c>
      <c r="C224">
        <v>243</v>
      </c>
      <c r="D224" t="s">
        <v>460</v>
      </c>
      <c r="E224">
        <v>46559</v>
      </c>
      <c r="F224">
        <v>46570</v>
      </c>
    </row>
    <row r="225" spans="1:7">
      <c r="A225" t="s">
        <v>461</v>
      </c>
      <c r="B225">
        <v>7</v>
      </c>
      <c r="C225">
        <v>244</v>
      </c>
      <c r="D225" t="s">
        <v>462</v>
      </c>
      <c r="E225">
        <v>46573</v>
      </c>
      <c r="F225">
        <v>46584</v>
      </c>
      <c r="G225" t="s">
        <v>463</v>
      </c>
    </row>
    <row r="226" spans="1:7">
      <c r="A226" t="s">
        <v>464</v>
      </c>
      <c r="B226">
        <v>4</v>
      </c>
      <c r="C226">
        <v>173</v>
      </c>
      <c r="D226" t="s">
        <v>300</v>
      </c>
      <c r="E226">
        <v>46587</v>
      </c>
      <c r="F226">
        <v>46598</v>
      </c>
    </row>
    <row r="227" spans="1:7">
      <c r="A227" t="s">
        <v>465</v>
      </c>
      <c r="B227">
        <v>6</v>
      </c>
      <c r="C227">
        <v>174</v>
      </c>
      <c r="D227" t="s">
        <v>302</v>
      </c>
      <c r="E227">
        <v>46587</v>
      </c>
      <c r="F227">
        <v>46588</v>
      </c>
      <c r="G227" t="s">
        <v>303</v>
      </c>
    </row>
    <row r="228" spans="1:7">
      <c r="A228" t="s">
        <v>466</v>
      </c>
      <c r="B228">
        <v>6</v>
      </c>
      <c r="C228">
        <v>175</v>
      </c>
      <c r="D228" t="s">
        <v>305</v>
      </c>
      <c r="E228">
        <v>46587</v>
      </c>
      <c r="F228">
        <v>46588</v>
      </c>
      <c r="G228" t="s">
        <v>306</v>
      </c>
    </row>
    <row r="229" spans="1:7">
      <c r="A229" t="s">
        <v>467</v>
      </c>
      <c r="B229">
        <v>6</v>
      </c>
      <c r="C229">
        <v>176</v>
      </c>
      <c r="D229" t="s">
        <v>308</v>
      </c>
      <c r="E229">
        <v>46589</v>
      </c>
      <c r="F229">
        <v>46591</v>
      </c>
    </row>
    <row r="230" spans="1:7">
      <c r="A230" t="s">
        <v>468</v>
      </c>
      <c r="B230">
        <v>6</v>
      </c>
      <c r="C230">
        <v>177</v>
      </c>
      <c r="D230" t="s">
        <v>310</v>
      </c>
      <c r="E230">
        <v>46594</v>
      </c>
      <c r="F230">
        <v>46598</v>
      </c>
    </row>
    <row r="231" spans="1:7">
      <c r="A231" t="s">
        <v>469</v>
      </c>
      <c r="B231">
        <v>6</v>
      </c>
      <c r="C231">
        <v>189</v>
      </c>
      <c r="D231" t="s">
        <v>312</v>
      </c>
      <c r="E231">
        <v>46594</v>
      </c>
      <c r="F231">
        <v>46598</v>
      </c>
    </row>
    <row r="232" spans="1:7">
      <c r="A232" t="s">
        <v>470</v>
      </c>
      <c r="B232">
        <v>6</v>
      </c>
      <c r="C232">
        <v>190</v>
      </c>
      <c r="D232" t="s">
        <v>314</v>
      </c>
      <c r="E232">
        <v>46594</v>
      </c>
      <c r="F232">
        <v>46598</v>
      </c>
    </row>
    <row r="233" spans="1:7">
      <c r="A233" t="s">
        <v>471</v>
      </c>
      <c r="B233">
        <v>1</v>
      </c>
      <c r="C233">
        <v>178</v>
      </c>
      <c r="D233" t="s">
        <v>472</v>
      </c>
      <c r="E233">
        <v>46594</v>
      </c>
      <c r="F233">
        <v>46598</v>
      </c>
    </row>
    <row r="234" spans="1:7">
      <c r="A234" t="s">
        <v>473</v>
      </c>
      <c r="B234">
        <v>3</v>
      </c>
      <c r="C234">
        <v>179</v>
      </c>
      <c r="D234" t="s">
        <v>474</v>
      </c>
      <c r="E234">
        <v>46601</v>
      </c>
      <c r="F234">
        <v>46630</v>
      </c>
    </row>
    <row r="235" spans="1:7">
      <c r="A235" t="s">
        <v>475</v>
      </c>
      <c r="B235">
        <v>5</v>
      </c>
      <c r="C235">
        <v>180</v>
      </c>
      <c r="D235" t="s">
        <v>476</v>
      </c>
      <c r="E235">
        <v>46601</v>
      </c>
      <c r="F235">
        <v>46630</v>
      </c>
    </row>
    <row r="236" spans="1:7">
      <c r="A236" t="s">
        <v>477</v>
      </c>
      <c r="B236">
        <v>5</v>
      </c>
      <c r="C236">
        <v>181</v>
      </c>
      <c r="D236" t="s">
        <v>478</v>
      </c>
      <c r="E236">
        <v>46601</v>
      </c>
      <c r="F236">
        <v>46630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"/>
  <sheetViews>
    <sheetView workbookViewId="0">
      <selection sqref="A1:F1"/>
    </sheetView>
  </sheetViews>
  <sheetFormatPr defaultRowHeight="14.4"/>
  <cols>
    <col min="1" max="1" width="14" customWidth="1"/>
    <col min="2" max="2" width="28" customWidth="1"/>
    <col min="3" max="3" width="58" customWidth="1"/>
    <col min="4" max="4" width="20" customWidth="1"/>
  </cols>
  <sheetData>
    <row r="1" spans="1:26" ht="25.2">
      <c r="A1" s="43" t="s">
        <v>479</v>
      </c>
      <c r="B1" s="43"/>
      <c r="C1" s="43"/>
      <c r="D1" s="43"/>
      <c r="E1" s="43"/>
      <c r="F1" s="4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399999999999999">
      <c r="A3" s="1" t="s">
        <v>480</v>
      </c>
      <c r="B3" s="2" t="s">
        <v>481</v>
      </c>
      <c r="C3" s="2" t="s">
        <v>482</v>
      </c>
      <c r="D3" s="3" t="s">
        <v>483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399999999999999">
      <c r="A4" s="29" t="s">
        <v>484</v>
      </c>
      <c r="B4" s="30" t="s">
        <v>485</v>
      </c>
      <c r="C4" s="30" t="s">
        <v>10</v>
      </c>
      <c r="D4" s="31">
        <f>COUNTIF(WBS!$A:$A,"1*")</f>
        <v>46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29" t="s">
        <v>486</v>
      </c>
      <c r="B5" s="30" t="s">
        <v>487</v>
      </c>
      <c r="C5" s="30" t="s">
        <v>110</v>
      </c>
      <c r="D5" s="31">
        <f>COUNTIF(WBS!$A:$A,"2*")</f>
        <v>104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29" t="s">
        <v>488</v>
      </c>
      <c r="B6" s="30" t="s">
        <v>489</v>
      </c>
      <c r="C6" s="30" t="s">
        <v>316</v>
      </c>
      <c r="D6" s="31">
        <f>COUNTIF(WBS!$A:$A,"3*")</f>
        <v>80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32" t="s">
        <v>490</v>
      </c>
      <c r="B7" s="33" t="s">
        <v>491</v>
      </c>
      <c r="C7" s="33" t="s">
        <v>472</v>
      </c>
      <c r="D7" s="34">
        <f>COUNTIF(WBS!$A:$A,"4*")</f>
        <v>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1" t="s">
        <v>492</v>
      </c>
      <c r="B10" s="3" t="s">
        <v>493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35" t="s">
        <v>494</v>
      </c>
      <c r="B11" s="36">
        <f>COUNTA(WBS!$D$2:$D$236)</f>
        <v>235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35" t="s">
        <v>495</v>
      </c>
      <c r="B12" s="36">
        <f>COUNTIF(WBS!$G$2:$G$236,"&lt;&gt;")</f>
        <v>30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35" t="s">
        <v>496</v>
      </c>
      <c r="B13" s="37">
        <f>MIN(WBS!$E$2:$E$236)</f>
        <v>45999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38" t="s">
        <v>497</v>
      </c>
      <c r="B14" s="39">
        <f>MAX(WBS!$F$2:$F$236)</f>
        <v>46759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</sheetData>
  <mergeCells count="1">
    <mergeCell ref="A1:F1"/>
  </mergeCells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"/>
  <sheetViews>
    <sheetView workbookViewId="0"/>
  </sheetViews>
  <sheetFormatPr defaultRowHeight="14.4"/>
  <cols>
    <col min="1" max="1" width="28" customWidth="1"/>
    <col min="2" max="2" width="42" customWidth="1"/>
    <col min="3" max="3" width="28" customWidth="1"/>
  </cols>
  <sheetData>
    <row r="1" spans="1:26" ht="17.399999999999999">
      <c r="A1" s="1" t="s">
        <v>498</v>
      </c>
      <c r="B1" s="2" t="s">
        <v>499</v>
      </c>
      <c r="C1" s="3" t="s">
        <v>500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35">
        <v>1</v>
      </c>
      <c r="B2" s="40" t="s">
        <v>501</v>
      </c>
      <c r="C2" s="36" t="s">
        <v>502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399999999999999">
      <c r="A3" s="35">
        <v>2</v>
      </c>
      <c r="B3" s="40" t="s">
        <v>503</v>
      </c>
      <c r="C3" s="36" t="s">
        <v>504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399999999999999">
      <c r="A4" s="38">
        <v>3</v>
      </c>
      <c r="B4" s="41" t="s">
        <v>505</v>
      </c>
      <c r="C4" s="42" t="s">
        <v>506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WBS</vt:lpstr>
      <vt:lpstr>Sheet1</vt:lpstr>
      <vt:lpstr>요약</vt:lpstr>
      <vt:lpstr>원본이미지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장우승</cp:lastModifiedBy>
  <dcterms:modified xsi:type="dcterms:W3CDTF">2026-08-23T11:09:36Z</dcterms:modified>
</cp:coreProperties>
</file>