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04bac81d3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서버목록_상세" sheetId="1" r:id="Rac3ef10428384c62"/>
    <x:sheet xmlns:r="http://schemas.openxmlformats.org/officeDocument/2006/relationships" name="기준정보" sheetId="2" r:id="R160db82b237e4c0a"/>
    <x:sheet xmlns:r="http://schemas.openxmlformats.org/officeDocument/2006/relationships" name="용량산정" sheetId="3" r:id="R548c7f0703ae488f"/>
    <x:sheet xmlns:r="http://schemas.openxmlformats.org/officeDocument/2006/relationships" name="보정계수" sheetId="4" r:id="Rc68fe4d15e564e1f"/>
    <x:sheet xmlns:r="http://schemas.openxmlformats.org/officeDocument/2006/relationships" name="원본이미지_목록" sheetId="5" r:id="R31c099e2072344dd"/>
    <x:sheet xmlns:r="http://schemas.openxmlformats.org/officeDocument/2006/relationships" name="파일시스템목록" sheetId="6" r:id="Rc9ae6cbb07324edd"/>
    <x:sheet xmlns:r="http://schemas.openxmlformats.org/officeDocument/2006/relationships" name="ISP용량산정_원본재현" sheetId="7" r:id="R0bd66e5a5440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D9C7B5"/>
      </x:patternFill>
    </x:fill>
    <x:fill>
      <x:patternFill patternType="solid">
        <x:fgColor rgb="FFC6E0B4"/>
      </x:patternFill>
    </x:fill>
    <x:fill>
      <x:patternFill patternType="solid">
        <x:fgColor rgb="FFFFD966"/>
      </x:patternFill>
    </x:fill>
    <x:fill>
      <x:patternFill patternType="solid">
        <x:fgColor rgb="FFE06666"/>
      </x:patternFill>
    </x:fill>
    <x:fill>
      <x:patternFill patternType="solid">
        <x:fgColor rgb="FFF4CCCC"/>
      </x:patternFill>
    </x:fill>
    <x:fill>
      <x:patternFill patternType="solid">
        <x:fgColor rgb="FFF4B183"/>
      </x:patternFill>
    </x:fill>
    <x:fill>
      <x:patternFill patternType="solid">
        <x:fgColor rgb="FFD9EAF7"/>
      </x:patternFill>
    </x:fill>
    <x:fill>
      <x:patternFill patternType="solid">
        <x:fgColor rgb="FFA9D18E"/>
      </x:patternFill>
    </x:fill>
    <x:fill>
      <x:patternFill patternType="solid">
        <x:fgColor rgb="FF2F5597"/>
      </x:patternFill>
    </x:fill>
    <x:fill>
      <x:patternFill patternType="solid">
        <x:fgColor rgb="FF4472C4"/>
      </x:patternFill>
    </x:fill>
    <x:fill>
      <x:patternFill patternType="solid">
        <x:fgColor rgb="FFE7E6E6"/>
      </x:patternFill>
    </x:fill>
    <x:fill>
      <x:patternFill patternType="solid">
        <x:fgColor rgb="FFD9C7B5"/>
      </x:patternFill>
    </x:fill>
    <x:fill>
      <x:patternFill patternType="solid">
        <x:fgColor rgb="FFD6B656"/>
      </x:patternFill>
    </x:fill>
    <x:fill>
      <x:patternFill patternType="solid">
        <x:fgColor rgb="FF2F5597"/>
      </x:patternFill>
    </x:fill>
    <x:fill>
      <x:patternFill patternType="solid">
        <x:fgColor rgb="FFFFD966"/>
      </x:patternFill>
    </x:fill>
    <x:fill>
      <x:patternFill patternType="solid">
        <x:fgColor rgb="FFE7E6E6"/>
      </x:patternFill>
    </x:fill>
    <x:fill>
      <x:patternFill patternType="solid">
        <x:fgColor rgb="FF4472C4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4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4" borderId="8" xfId="0" applyNumberFormat="1" applyFont="1" applyFill="1" applyBorder="1" applyAlignment="1">
      <x:alignment vertical="center" wrapText="1"/>
    </x:xf>
    <x:xf numFmtId="200" fontId="0" fillId="4" borderId="1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4" borderId="10" xfId="0" applyNumberFormat="1" applyFont="1" applyFill="1" applyBorder="1" applyAlignment="1">
      <x:alignment horizontal="center" vertical="center"/>
    </x:xf>
    <x:xf numFmtId="0" fontId="2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2" fillId="8" borderId="4" xfId="0" applyNumberFormat="1" applyFont="1" applyFill="1" applyBorder="1" applyAlignment="1">
      <x:alignment horizontal="center"/>
    </x:xf>
    <x:xf numFmtId="0" fontId="2" fillId="8" borderId="10" xfId="0" applyNumberFormat="1" applyFont="1" applyFill="1" applyBorder="1" applyAlignment="1">
      <x:alignment horizontal="center"/>
    </x:xf>
    <x:xf numFmtId="0" fontId="2" fillId="8" borderId="12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 wrapText="1"/>
    </x:xf>
    <x:xf numFmtId="0" fontId="2" fillId="8" borderId="4" xfId="0" applyNumberFormat="1" applyFont="1" applyFill="1" applyBorder="1" applyAlignment="1">
      <x:alignment horizontal="center" wrapText="1"/>
    </x:xf>
    <x:xf numFmtId="0" fontId="2" fillId="8" borderId="10" xfId="0" applyNumberFormat="1" applyFont="1" applyFill="1" applyBorder="1" applyAlignment="1">
      <x:alignment horizontal="center" wrapText="1"/>
    </x:xf>
    <x:xf numFmtId="0" fontId="2" fillId="8" borderId="12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/>
    <x:xf numFmtId="0" fontId="2" fillId="4" borderId="4" xfId="0" applyNumberFormat="1" applyFont="1" applyFill="1" applyBorder="1"/>
    <x:xf numFmtId="0" fontId="2" fillId="4" borderId="10" xfId="0" applyNumberFormat="1" applyFont="1" applyFill="1" applyBorder="1"/>
    <x:xf numFmtId="0" fontId="2" fillId="4" borderId="12" xfId="0" applyNumberFormat="1" applyFont="1" applyFill="1" applyBorder="1"/>
    <x:xf numFmtId="0" fontId="4" fillId="10" borderId="2" xfId="0" applyNumberFormat="1" applyFont="1" applyFill="1" applyBorder="1" applyAlignment="1">
      <x:alignment horizontal="center" wrapText="1"/>
    </x:xf>
    <x:xf numFmtId="0" fontId="4" fillId="10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3" fillId="2" borderId="5" xfId="0" applyNumberFormat="1" applyFont="1" applyFill="1" applyBorder="1"/>
    <x:xf numFmtId="0" fontId="4" fillId="10" borderId="5" xfId="0" applyNumberFormat="1" applyFont="1" applyFill="1" applyBorder="1" applyAlignment="1">
      <x:alignment horizontal="center" wrapText="1"/>
    </x:xf>
    <x:xf numFmtId="0" fontId="4" fillId="10" borderId="6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/>
    <x:xf numFmtId="0" fontId="4" fillId="10" borderId="10" xfId="0" applyNumberFormat="1" applyFont="1" applyFill="1" applyBorder="1" applyAlignment="1">
      <x:alignment horizontal="center" wrapText="1"/>
    </x:xf>
    <x:xf numFmtId="0" fontId="4" fillId="10" borderId="11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2" borderId="13" xfId="0" applyNumberFormat="1" applyFont="1" applyFill="1" applyBorder="1"/>
    <x:xf numFmtId="0" fontId="4" fillId="10" borderId="13" xfId="0" applyNumberFormat="1" applyFont="1" applyFill="1" applyBorder="1" applyAlignment="1">
      <x:alignment horizontal="center" wrapText="1"/>
    </x:xf>
    <x:xf numFmtId="0" fontId="4" fillId="10" borderId="14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0" fillId="11" borderId="6" xfId="0" applyNumberFormat="1" applyFont="1" applyFill="1" applyBorder="1"/>
    <x:xf numFmtId="0" fontId="0" fillId="11" borderId="14" xfId="0" applyNumberFormat="1" applyFont="1" applyFill="1" applyBorder="1"/>
    <x:xf numFmtId="0" fontId="4" fillId="11" borderId="6" xfId="0" applyNumberFormat="1" applyFont="1" applyFill="1" applyBorder="1"/>
    <x:xf numFmtId="0" fontId="4" fillId="11" borderId="14" xfId="0" applyNumberFormat="1" applyFont="1" applyFill="1" applyBorder="1"/>
    <x:xf numFmtId="0" fontId="0" fillId="11" borderId="8" xfId="0" applyNumberFormat="1" applyFont="1" applyFill="1" applyBorder="1"/>
    <x:xf numFmtId="0" fontId="0" fillId="11" borderId="9" xfId="0" applyNumberFormat="1" applyFont="1" applyFill="1" applyBorder="1"/>
    <x:xf numFmtId="0" fontId="0" fillId="11" borderId="16" xfId="0" applyNumberFormat="1" applyFont="1" applyFill="1" applyBorder="1"/>
    <x:xf numFmtId="0" fontId="0" fillId="11" borderId="17" xfId="0" applyNumberFormat="1" applyFont="1" applyFill="1" applyBorder="1"/>
    <x:xf numFmtId="0" fontId="4" fillId="11" borderId="8" xfId="0" applyNumberFormat="1" applyFont="1" applyFill="1" applyBorder="1"/>
    <x:xf numFmtId="0" fontId="4" fillId="11" borderId="9" xfId="0" applyNumberFormat="1" applyFont="1" applyFill="1" applyBorder="1"/>
    <x:xf numFmtId="0" fontId="4" fillId="11" borderId="16" xfId="0" applyNumberFormat="1" applyFont="1" applyFill="1" applyBorder="1"/>
    <x:xf numFmtId="0" fontId="4" fillId="11" borderId="17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4" fillId="11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11" borderId="8" xfId="0" applyNumberFormat="1" applyFont="1" applyFill="1" applyBorder="1" applyAlignment="1">
      <x:alignment wrapText="1"/>
    </x:xf>
    <x:xf numFmtId="0" fontId="4" fillId="11" borderId="9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4" fillId="11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4" fillId="11" borderId="16" xfId="0" applyNumberFormat="1" applyFont="1" applyFill="1" applyBorder="1" applyAlignment="1">
      <x:alignment wrapText="1"/>
    </x:xf>
    <x:xf numFmtId="0" fontId="4" fillId="11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4" fillId="10" borderId="3" xfId="0" applyNumberFormat="1" applyFont="1" applyFill="1" applyBorder="1" applyAlignment="1">
      <x:alignment horizontal="center" wrapText="1"/>
    </x:xf>
    <x:xf numFmtId="200" fontId="4" fillId="10" borderId="0" xfId="0" applyNumberFormat="1" applyFont="1" applyFill="1" applyBorder="1" applyAlignment="1">
      <x:alignment horizontal="center"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4" fillId="10" borderId="11" xfId="0" applyNumberFormat="1" applyFont="1" applyFill="1" applyBorder="1" applyAlignment="1">
      <x:alignment horizontal="center" wrapText="1"/>
    </x:xf>
    <x:xf numFmtId="200" fontId="4" fillId="10" borderId="1" xfId="0" applyNumberFormat="1" applyFont="1" applyFill="1" applyBorder="1" applyAlignment="1">
      <x:alignment horizontal="center" wrapText="1"/>
    </x:xf>
    <x:xf numFmtId="200" fontId="0" fillId="0" borderId="16" xfId="0" applyNumberFormat="1" applyFont="1" applyFill="1" applyBorder="1" applyAlignment="1">
      <x:alignment wrapText="1"/>
    </x:xf>
    <x:xf numFmtId="200" fontId="4" fillId="11" borderId="0" xfId="0" applyNumberFormat="1" applyFont="1" applyFill="1" applyBorder="1" applyAlignment="1">
      <x:alignment wrapText="1"/>
    </x:xf>
    <x:xf numFmtId="200" fontId="4" fillId="11" borderId="1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4" fillId="11" borderId="8" xfId="0" applyNumberFormat="1" applyFont="1" applyFill="1" applyBorder="1" applyAlignment="1">
      <x:alignment wrapText="1"/>
    </x:xf>
    <x:xf numFmtId="200" fontId="4" fillId="11" borderId="16" xfId="0" applyNumberFormat="1" applyFont="1" applyFill="1" applyBorder="1" applyAlignment="1">
      <x:alignment wrapText="1"/>
    </x:xf>
    <x:xf numFmtId="200" fontId="2" fillId="4" borderId="2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4" fillId="10" borderId="6" xfId="0" applyNumberFormat="1" applyFont="1" applyFill="1" applyBorder="1" applyAlignment="1">
      <x:alignment horizontal="center" wrapText="1"/>
    </x:xf>
    <x:xf numFmtId="200" fontId="4" fillId="11" borderId="6" xfId="0" applyNumberFormat="1" applyFont="1" applyFill="1" applyBorder="1" applyAlignment="1">
      <x:alignment wrapText="1"/>
    </x:xf>
    <x:xf numFmtId="200" fontId="4" fillId="11" borderId="9" xfId="0" applyNumberFormat="1" applyFont="1" applyFill="1" applyBorder="1" applyAlignment="1">
      <x:alignment wrapText="1"/>
    </x:xf>
    <x:xf numFmtId="200" fontId="2" fillId="4" borderId="1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4" fillId="10" borderId="14" xfId="0" applyNumberFormat="1" applyFont="1" applyFill="1" applyBorder="1" applyAlignment="1">
      <x:alignment horizontal="center" wrapText="1"/>
    </x:xf>
    <x:xf numFmtId="200" fontId="4" fillId="11" borderId="14" xfId="0" applyNumberFormat="1" applyFont="1" applyFill="1" applyBorder="1" applyAlignment="1">
      <x:alignment wrapText="1"/>
    </x:xf>
    <x:xf numFmtId="200" fontId="4" fillId="11" borderId="17" xfId="0" applyNumberFormat="1" applyFont="1" applyFill="1" applyBorder="1" applyAlignment="1">
      <x:alignment wrapText="1"/>
    </x:xf>
    <x:xf numFmtId="200" fontId="2" fillId="4" borderId="4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2" fillId="4" borderId="12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4" fillId="10" borderId="3" xfId="0" applyNumberFormat="1" applyFont="1" applyFill="1" applyBorder="1" applyAlignment="1">
      <x:alignment horizontal="center" wrapText="1"/>
    </x:xf>
    <x:xf numFmtId="201" fontId="4" fillId="10" borderId="0" xfId="0" applyNumberFormat="1" applyFont="1" applyFill="1" applyBorder="1" applyAlignment="1">
      <x:alignment horizontal="center"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4" fillId="10" borderId="11" xfId="0" applyNumberFormat="1" applyFont="1" applyFill="1" applyBorder="1" applyAlignment="1">
      <x:alignment horizontal="center" wrapText="1"/>
    </x:xf>
    <x:xf numFmtId="201" fontId="4" fillId="10" borderId="1" xfId="0" applyNumberFormat="1" applyFont="1" applyFill="1" applyBorder="1" applyAlignment="1">
      <x:alignment horizontal="center" wrapText="1"/>
    </x:xf>
    <x:xf numFmtId="201" fontId="0" fillId="0" borderId="16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4" fillId="10" borderId="2" xfId="0" applyNumberFormat="1" applyFont="1" applyFill="1" applyBorder="1"/>
    <x:xf numFmtId="0" fontId="4" fillId="10" borderId="3" xfId="0" applyNumberFormat="1" applyFont="1" applyFill="1" applyBorder="1"/>
    <x:xf numFmtId="0" fontId="4" fillId="10" borderId="4" xfId="0" applyNumberFormat="1" applyFont="1" applyFill="1" applyBorder="1"/>
    <x:xf numFmtId="0" fontId="4" fillId="10" borderId="10" xfId="0" applyNumberFormat="1" applyFont="1" applyFill="1" applyBorder="1"/>
    <x:xf numFmtId="0" fontId="4" fillId="10" borderId="11" xfId="0" applyNumberFormat="1" applyFont="1" applyFill="1" applyBorder="1"/>
    <x:xf numFmtId="0" fontId="4" fillId="10" borderId="12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wrapText="1"/>
    </x:xf>
    <x:xf numFmtId="0" fontId="4" fillId="10" borderId="3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4" fillId="10" borderId="10" xfId="0" applyNumberFormat="1" applyFont="1" applyFill="1" applyBorder="1" applyAlignment="1">
      <x:alignment wrapText="1"/>
    </x:xf>
    <x:xf numFmtId="0" fontId="4" fillId="10" borderId="11" xfId="0" applyNumberFormat="1" applyFont="1" applyFill="1" applyBorder="1" applyAlignment="1">
      <x:alignment wrapText="1"/>
    </x:xf>
    <x:xf numFmtId="0" fontId="4" fillId="10" borderId="1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1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1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2" fillId="12" borderId="2" xfId="0" applyNumberFormat="1" applyFont="1" applyFill="1" applyBorder="1" applyAlignment="1">
      <x:alignment wrapText="1"/>
    </x:xf>
    <x:xf numFmtId="200" fontId="2" fillId="12" borderId="3" xfId="0" applyNumberFormat="1" applyFont="1" applyFill="1" applyBorder="1" applyAlignment="1">
      <x:alignment wrapText="1"/>
    </x:xf>
    <x:xf numFmtId="200" fontId="2" fillId="12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2" fillId="12" borderId="10" xfId="0" applyNumberFormat="1" applyFont="1" applyFill="1" applyBorder="1" applyAlignment="1">
      <x:alignment wrapText="1"/>
    </x:xf>
    <x:xf numFmtId="200" fontId="2" fillId="12" borderId="11" xfId="0" applyNumberFormat="1" applyFont="1" applyFill="1" applyBorder="1" applyAlignment="1">
      <x:alignment wrapText="1"/>
    </x:xf>
    <x:xf numFmtId="200" fontId="2" fillId="12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2" fillId="1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2" fillId="13" borderId="19" xfId="0" applyNumberFormat="1" applyFont="1" applyFill="1" applyBorder="1" applyAlignment="1">
      <x:alignment horizontal="center"/>
    </x:xf>
    <x:xf numFmtId="0" fontId="2" fillId="14" borderId="19" xfId="0" applyNumberFormat="1" applyFont="1" applyFill="1" applyBorder="1" applyAlignment="1">
      <x:alignment horizontal="center"/>
    </x:xf>
    <x:xf numFmtId="0" fontId="2" fillId="13" borderId="20" xfId="0" applyNumberFormat="1" applyFont="1" applyFill="1" applyBorder="1" applyAlignment="1">
      <x:alignment horizontal="center"/>
    </x:xf>
    <x:xf numFmtId="0" fontId="2" fillId="13" borderId="21" xfId="0" applyNumberFormat="1" applyFont="1" applyFill="1" applyBorder="1" applyAlignment="1">
      <x:alignment horizontal="center" vertical="center"/>
    </x:xf>
    <x:xf numFmtId="0" fontId="2" fillId="13" xfId="0" applyNumberFormat="1" applyFont="1" applyFill="1" applyBorder="0" applyAlignment="1">
      <x:alignment horizontal="center" vertical="center"/>
    </x:xf>
    <x:xf numFmtId="0" fontId="2" fillId="14" xfId="0" applyNumberFormat="1" applyFont="1" applyFill="1" applyBorder="0" applyAlignment="1">
      <x:alignment horizontal="center" vertical="center"/>
    </x:xf>
    <x:xf numFmtId="0" fontId="2" fillId="13" borderId="22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/>
    <x:xf numFmtId="0" fontId="0" fillId="0" xfId="0" applyNumberFormat="1" applyFont="1" applyFill="1" applyBorder="0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2" fillId="13" borderId="19" xfId="0" applyNumberFormat="1" applyFont="1" applyFill="1" applyBorder="1" applyAlignment="1">
      <x:alignment horizontal="center" wrapText="1"/>
    </x:xf>
    <x:xf numFmtId="0" fontId="2" fillId="14" borderId="19" xfId="0" applyNumberFormat="1" applyFont="1" applyFill="1" applyBorder="1" applyAlignment="1">
      <x:alignment horizontal="center" wrapText="1"/>
    </x:xf>
    <x:xf numFmtId="0" fontId="2" fillId="13" borderId="20" xfId="0" applyNumberFormat="1" applyFont="1" applyFill="1" applyBorder="1" applyAlignment="1">
      <x:alignment horizontal="center" wrapText="1"/>
    </x:xf>
    <x:xf numFmtId="0" fontId="2" fillId="13" borderId="21" xfId="0" applyNumberFormat="1" applyFont="1" applyFill="1" applyBorder="1" applyAlignment="1">
      <x:alignment horizontal="center" vertical="center" wrapText="1"/>
    </x:xf>
    <x:xf numFmtId="0" fontId="2" fillId="13" xfId="0" applyNumberFormat="1" applyFont="1" applyFill="1" applyBorder="0" applyAlignment="1">
      <x:alignment horizontal="center" vertical="center" wrapText="1"/>
    </x:xf>
    <x:xf numFmtId="0" fontId="2" fillId="14" xfId="0" applyNumberFormat="1" applyFont="1" applyFill="1" applyBorder="0" applyAlignment="1">
      <x:alignment horizontal="center" vertical="center" wrapText="1"/>
    </x:xf>
    <x:xf numFmtId="0" fontId="2" fillId="13" borderId="22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3" fillId="13" borderId="0" xfId="0" applyNumberFormat="1" applyFont="1" applyFill="1" applyBorder="1"/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4" fillId="15" borderId="18" xfId="0" applyNumberFormat="1" applyFont="1" applyFill="1" applyBorder="1" applyAlignment="1">
      <x:alignment horizontal="center" wrapText="1"/>
    </x:xf>
    <x:xf numFmtId="0" fontId="4" fillId="15" borderId="19" xfId="0" applyNumberFormat="1" applyFont="1" applyFill="1" applyBorder="1" applyAlignment="1">
      <x:alignment horizontal="center" wrapText="1"/>
    </x:xf>
    <x:xf numFmtId="0" fontId="4" fillId="15" borderId="20" xfId="0" applyNumberFormat="1" applyFont="1" applyFill="1" applyBorder="1" applyAlignment="1">
      <x:alignment horizontal="center" wrapText="1"/>
    </x:xf>
    <x:xf numFmtId="0" fontId="2" fillId="16" borderId="18" xfId="0" applyNumberFormat="1" applyFont="1" applyFill="1" applyBorder="1"/>
    <x:xf numFmtId="0" fontId="2" fillId="16" borderId="20" xfId="0" applyNumberFormat="1" applyFont="1" applyFill="1" applyBorder="1"/>
    <x:xf numFmtId="0" fontId="0" fillId="0" borderId="20" xfId="0" applyNumberFormat="1" applyFont="1" applyFill="1" applyBorder="1"/>
    <x:xf numFmtId="0" fontId="2" fillId="17" borderId="21" xfId="0" applyNumberFormat="1" applyFont="1" applyFill="1" applyBorder="1"/>
    <x:xf numFmtId="0" fontId="2" fillId="17" borderId="22" xfId="0" applyNumberFormat="1" applyFont="1" applyFill="1" applyBorder="1"/>
    <x:xf numFmtId="0" fontId="2" fillId="17" borderId="18" xfId="0" applyNumberFormat="1" applyFont="1" applyFill="1" applyBorder="1"/>
    <x:xf numFmtId="0" fontId="2" fillId="17" borderId="20" xfId="0" applyNumberFormat="1" applyFont="1" applyFill="1" applyBorder="1"/>
    <x:xf numFmtId="0" fontId="2" fillId="17" borderId="19" xfId="0" applyNumberFormat="1" applyFont="1" applyFill="1" applyBorder="1"/>
    <x:xf numFmtId="0" fontId="0" fillId="18" xfId="0" applyNumberFormat="1" applyFont="1" applyFill="1" applyBorder="0"/>
    <x:xf numFmtId="0" fontId="0" fillId="18" borderId="22" xfId="0" applyNumberFormat="1" applyFont="1" applyFill="1" applyBorder="1"/>
    <x:xf numFmtId="0" fontId="0" fillId="18" borderId="24" xfId="0" applyNumberFormat="1" applyFont="1" applyFill="1" applyBorder="1"/>
    <x:xf numFmtId="0" fontId="0" fillId="18" borderId="25" xfId="0" applyNumberFormat="1" applyFont="1" applyFill="1" applyBorder="1"/>
    <x:xf numFmtId="0" fontId="4" fillId="18" xfId="0" applyNumberFormat="1" applyFont="1" applyFill="1" applyBorder="0"/>
    <x:xf numFmtId="0" fontId="4" fillId="18" borderId="22" xfId="0" applyNumberFormat="1" applyFont="1" applyFill="1" applyBorder="1"/>
    <x:xf numFmtId="0" fontId="4" fillId="18" borderId="24" xfId="0" applyNumberFormat="1" applyFont="1" applyFill="1" applyBorder="1"/>
    <x:xf numFmtId="0" fontId="4" fillId="18" borderId="25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2" fillId="16" borderId="18" xfId="0" applyNumberFormat="1" applyFont="1" applyFill="1" applyBorder="1" applyAlignment="1">
      <x:alignment wrapText="1"/>
    </x:xf>
    <x:xf numFmtId="0" fontId="2" fillId="16" borderId="20" xfId="0" applyNumberFormat="1" applyFont="1" applyFill="1" applyBorder="1" applyAlignment="1">
      <x:alignment wrapText="1"/>
    </x:xf>
    <x:xf numFmtId="0" fontId="4" fillId="18" xfId="0" applyNumberFormat="1" applyFont="1" applyFill="1" applyBorder="0" applyAlignment="1">
      <x:alignment wrapText="1"/>
    </x:xf>
    <x:xf numFmtId="0" fontId="4" fillId="18" borderId="22" xfId="0" applyNumberFormat="1" applyFont="1" applyFill="1" applyBorder="1" applyAlignment="1">
      <x:alignment wrapText="1"/>
    </x:xf>
    <x:xf numFmtId="0" fontId="4" fillId="18" borderId="24" xfId="0" applyNumberFormat="1" applyFont="1" applyFill="1" applyBorder="1" applyAlignment="1">
      <x:alignment wrapText="1"/>
    </x:xf>
    <x:xf numFmtId="0" fontId="4" fillId="18" borderId="25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2" fillId="17" borderId="18" xfId="0" applyNumberFormat="1" applyFont="1" applyFill="1" applyBorder="1" applyAlignment="1">
      <x:alignment wrapText="1"/>
    </x:xf>
    <x:xf numFmtId="0" fontId="2" fillId="17" borderId="20" xfId="0" applyNumberFormat="1" applyFont="1" applyFill="1" applyBorder="1" applyAlignment="1">
      <x:alignment wrapText="1"/>
    </x:xf>
    <x:xf numFmtId="0" fontId="2" fillId="17" borderId="19" xfId="0" applyNumberFormat="1" applyFont="1" applyFill="1" applyBorder="1" applyAlignment="1">
      <x:alignment wrapText="1"/>
    </x:xf>
    <x:xf numFmtId="200" fontId="4" fillId="15" borderId="19" xfId="0" applyNumberFormat="1" applyFont="1" applyFill="1" applyBorder="1" applyAlignment="1">
      <x:alignment horizontal="center" wrapText="1"/>
    </x:xf>
    <x:xf numFmtId="200" fontId="0" fillId="0" xfId="0" applyNumberFormat="1" applyFont="1" applyFill="1" applyBorder="0" applyAlignment="1">
      <x:alignment wrapText="1"/>
    </x:xf>
    <x:xf numFmtId="200" fontId="0" fillId="0" borderId="24" xfId="0" applyNumberFormat="1" applyFont="1" applyFill="1" applyBorder="1" applyAlignment="1">
      <x:alignment wrapText="1"/>
    </x:xf>
    <x:xf numFmtId="200" fontId="4" fillId="18" xfId="0" applyNumberFormat="1" applyFont="1" applyFill="1" applyBorder="0" applyAlignment="1">
      <x:alignment wrapText="1"/>
    </x:xf>
    <x:xf numFmtId="200" fontId="4" fillId="18" borderId="24" xfId="0" applyNumberFormat="1" applyFont="1" applyFill="1" applyBorder="1" applyAlignment="1">
      <x:alignment wrapText="1"/>
    </x:xf>
    <x:xf numFmtId="200" fontId="4" fillId="15" borderId="20" xfId="0" applyNumberFormat="1" applyFont="1" applyFill="1" applyBorder="1" applyAlignment="1">
      <x:alignment horizontal="center" wrapText="1"/>
    </x:xf>
    <x:xf numFmtId="200" fontId="4" fillId="18" borderId="22" xfId="0" applyNumberFormat="1" applyFont="1" applyFill="1" applyBorder="1" applyAlignment="1">
      <x:alignment wrapText="1"/>
    </x:xf>
    <x:xf numFmtId="200" fontId="4" fillId="18" borderId="25" xfId="0" applyNumberFormat="1" applyFont="1" applyFill="1" applyBorder="1" applyAlignment="1">
      <x:alignment wrapText="1"/>
    </x:xf>
    <x:xf numFmtId="200" fontId="2" fillId="16" borderId="18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0" fontId="2" fillId="16" borderId="20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200" fontId="0" fillId="0" borderId="2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2" fillId="17" borderId="18" xfId="0" applyNumberFormat="1" applyFont="1" applyFill="1" applyBorder="1" applyAlignment="1">
      <x:alignment wrapText="1"/>
    </x:xf>
    <x:xf numFmtId="200" fontId="0" fillId="0" borderId="20" xfId="0" applyNumberFormat="1" applyFont="1" applyFill="1" applyBorder="1" applyAlignment="1">
      <x:alignment wrapText="1"/>
    </x:xf>
    <x:xf numFmtId="200" fontId="2" fillId="17" borderId="20" xfId="0" applyNumberFormat="1" applyFont="1" applyFill="1" applyBorder="1" applyAlignment="1">
      <x:alignment wrapText="1"/>
    </x:xf>
    <x:xf numFmtId="201" fontId="4" fillId="15" borderId="19" xfId="0" applyNumberFormat="1" applyFont="1" applyFill="1" applyBorder="1" applyAlignment="1">
      <x:alignment horizontal="center" wrapText="1"/>
    </x:xf>
    <x:xf numFmtId="201" fontId="0" fillId="0" xfId="0" applyNumberFormat="1" applyFont="1" applyFill="1" applyBorder="0" applyAlignment="1">
      <x:alignment wrapText="1"/>
    </x:xf>
    <x:xf numFmtId="201" fontId="0" fillId="0" borderId="24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ce90a02324087" /><Relationship Type="http://schemas.openxmlformats.org/officeDocument/2006/relationships/theme" Target="/xl/theme/theme1.xml" Id="R7c395b3c491946b9" /><Relationship Type="http://schemas.openxmlformats.org/officeDocument/2006/relationships/sharedStrings" Target="/xl/sharedStrings.xml" Id="R6095b95091754e43" /><Relationship Type="http://schemas.openxmlformats.org/officeDocument/2006/relationships/worksheet" Target="/xl/worksheets/sheet1.xml" Id="Rac3ef10428384c62" /><Relationship Type="http://schemas.openxmlformats.org/officeDocument/2006/relationships/worksheet" Target="/xl/worksheets/sheet2.xml" Id="R160db82b237e4c0a" /><Relationship Type="http://schemas.openxmlformats.org/officeDocument/2006/relationships/worksheet" Target="/xl/worksheets/sheet3.xml" Id="R548c7f0703ae488f" /><Relationship Type="http://schemas.openxmlformats.org/officeDocument/2006/relationships/worksheet" Target="/xl/worksheets/sheet4.xml" Id="Rc68fe4d15e564e1f" /><Relationship Type="http://schemas.openxmlformats.org/officeDocument/2006/relationships/worksheet" Target="/xl/worksheets/sheet5.xml" Id="R31c099e2072344dd" /><Relationship Type="http://schemas.openxmlformats.org/officeDocument/2006/relationships/worksheet" Target="/xl/worksheets/sheet6.xml" Id="Rc9ae6cbb07324edd" /><Relationship Type="http://schemas.openxmlformats.org/officeDocument/2006/relationships/worksheet" Target="/xl/worksheets/sheet7.xml" Id="R0bd66e5a54404e31" /></Relationships>
</file>

<file path=xl/tables/table1.xml><?xml version="1.0" encoding="utf-8"?>
<x:table xmlns:x="http://schemas.openxmlformats.org/spreadsheetml/2006/main" id="1" name="ServerInventory" displayName="ServerInventory" ref="A1:T106" headerRowCount="1" totalsRowCount="0" totalsRowShown="0">
  <x:tableColumns count="20">
    <x:tableColumn id="1" name="원본행"/>
    <x:tableColumn id="2" name="운영구분"/>
    <x:tableColumn id="3" name="센터"/>
    <x:tableColumn id="4" name="제조사"/>
    <x:tableColumn id="5" name="OS"/>
    <x:tableColumn id="6" name="서버Type"/>
    <x:tableColumn id="7" name="도입구분"/>
    <x:tableColumn id="8" name="시스템그룹"/>
    <x:tableColumn id="9" name="Hostname"/>
    <x:tableColumn id="10" name="서버명(한글)"/>
    <x:tableColumn id="11" name="역할"/>
    <x:tableColumn id="12" name="CPU(Core)"/>
    <x:tableColumn id="13" name="CPU 수정(Core)"/>
    <x:tableColumn id="14" name="MEM(GB)"/>
    <x:tableColumn id="15" name="OS Disk(GB)"/>
    <x:tableColumn id="16" name="추가 Disk(GB)"/>
    <x:tableColumn id="17" name="용량기준"/>
    <x:tableColumn id="18" name="tpmC"/>
    <x:tableColumn id="19" name="DR대상"/>
    <x:tableColumn id="2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dbfbb4bc8e4f4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9" hidden="0" customWidth="1"/>
    <x:col min="4" max="4" width="10" hidden="0" customWidth="1"/>
    <x:col min="5" max="5" width="9" hidden="0" customWidth="1"/>
    <x:col min="6" max="6" width="13" hidden="0" customWidth="1"/>
    <x:col min="7" max="7" width="12" hidden="0" customWidth="1"/>
    <x:col min="8" max="8" width="23" hidden="0" customWidth="1"/>
    <x:col min="9" max="9" width="18" hidden="0" customWidth="1"/>
    <x:col min="10" max="10" width="28" hidden="0" customWidth="1"/>
    <x:col min="11" max="11" width="9" hidden="0" customWidth="1"/>
    <x:col min="12" max="12" width="11" hidden="0" customWidth="1"/>
    <x:col min="13" max="13" width="12" hidden="0" customWidth="1"/>
    <x:col min="14" max="14" width="11" hidden="0" customWidth="1"/>
    <x:col min="15" max="15" width="12" hidden="0" customWidth="1"/>
    <x:col min="16" max="16" width="13" hidden="0" customWidth="1"/>
    <x:col min="17" max="17" width="24" hidden="0" customWidth="1"/>
    <x:col min="18" max="18" width="15" hidden="0" customWidth="1"/>
    <x:col min="19" max="19" width="9" hidden="0" customWidth="1"/>
    <x:col min="20" max="20" width="34" hidden="0" customWidth="1"/>
  </x:cols>
  <x:sheetData>
    <x:row r="1" ht="32" customHeight="1">
      <x:c r="A1" s="24" t="str">
        <x:v>원본행</x:v>
      </x:c>
      <x:c r="B1" s="25" t="str">
        <x:v>운영구분</x:v>
      </x:c>
      <x:c r="C1" s="25" t="str">
        <x:v>센터</x:v>
      </x:c>
      <x:c r="D1" s="25" t="str">
        <x:v>제조사</x:v>
      </x:c>
      <x:c r="E1" s="25" t="str">
        <x:v>OS</x:v>
      </x:c>
      <x:c r="F1" s="25" t="str">
        <x:v>서버Type</x:v>
      </x:c>
      <x:c r="G1" s="25" t="str">
        <x:v>도입구분</x:v>
      </x:c>
      <x:c r="H1" s="25" t="str">
        <x:v>시스템그룹</x:v>
      </x:c>
      <x:c r="I1" s="25" t="str">
        <x:v>Hostname</x:v>
      </x:c>
      <x:c r="J1" s="26" t="str">
        <x:v>서버명(한글)</x:v>
      </x:c>
      <x:c r="K1" s="25" t="str">
        <x:v>역할</x:v>
      </x:c>
      <x:c r="L1" s="25" t="str">
        <x:v>CPU(Core)</x:v>
      </x:c>
      <x:c r="M1" s="27" t="str">
        <x:v>CPU 수정(Core)</x:v>
      </x:c>
      <x:c r="N1" s="25" t="str">
        <x:v>MEM(GB)</x:v>
      </x:c>
      <x:c r="O1" s="25" t="str">
        <x:v>OS Disk(GB)</x:v>
      </x:c>
      <x:c r="P1" s="25" t="str">
        <x:v>추가 Disk(GB)</x:v>
      </x:c>
      <x:c r="Q1" s="25" t="str">
        <x:v>용량기준</x:v>
      </x:c>
      <x:c r="R1" s="25" t="str">
        <x:v>tpmC</x:v>
      </x:c>
      <x:c r="S1" s="25" t="str">
        <x:v>DR대상</x:v>
      </x:c>
      <x:c r="T1" s="28" t="str">
        <x:v>비고</x:v>
      </x:c>
    </x:row>
    <x:row r="2">
      <x:c r="A2" s="29" t="n">
        <x:v>9</x:v>
      </x:c>
      <x:c r="B2" s="13" t="str">
        <x:v>선도/개발</x:v>
      </x:c>
      <x:c r="C2" s="13" t="str">
        <x:v>의왕</x:v>
      </x:c>
      <x:c r="D2" s="13" t="str">
        <x:v>x86</x:v>
      </x:c>
      <x:c r="E2" s="13" t="str">
        <x:v>Linux</x:v>
      </x:c>
      <x:c r="F2" s="13" t="str">
        <x:v>IaaS</x:v>
      </x:c>
      <x:c r="G2" s="13" t="str">
        <x:v>신규</x:v>
      </x:c>
      <x:c r="H2" s="13" t="str">
        <x:v>마케팅플랫폼</x:v>
      </x:c>
      <x:c r="I2" s="13" t="str">
        <x:v>sbmpcoltwb01</x:v>
      </x:c>
      <x:c r="J2" s="17" t="str">
        <x:v>마케팅플랫폼 WEB #01</x:v>
      </x:c>
      <x:c r="K2" s="13" t="str">
        <x:v>WEB</x:v>
      </x:c>
      <x:c r="L2" s="72" t="n">
        <x:v>7</x:v>
      </x:c>
      <x:c r="M2" s="74" t="n">
        <x:v>8</x:v>
      </x:c>
      <x:c r="N2" s="72" t="n">
        <x:v>32</x:v>
      </x:c>
      <x:c r="O2" s="72" t="n">
        <x:v>250</x:v>
      </x:c>
      <x:c r="P2" s="72" t="n">
        <x:v>100</x:v>
      </x:c>
      <x:c r="Q2" s="13" t="str">
        <x:v>ISP</x:v>
      </x:c>
      <x:c r="R2" s="72" t="n">
        <x:v>752728</x:v>
      </x:c>
      <x:c r="S2" s="13" t="str">
        <x:v>-</x:v>
      </x:c>
      <x:c r="T2" s="30" t="str">
        <x:v>마케팅플랫폼+미니싱글뷰 통합구성</x:v>
      </x:c>
    </x:row>
    <x:row r="3">
      <x:c r="A3" s="29" t="n">
        <x:v>10</x:v>
      </x:c>
      <x:c r="B3" s="13" t="str">
        <x:v>선도/개발</x:v>
      </x:c>
      <x:c r="C3" s="13" t="str">
        <x:v>의왕</x:v>
      </x:c>
      <x:c r="D3" s="13" t="str">
        <x:v>x86</x:v>
      </x:c>
      <x:c r="E3" s="13" t="str">
        <x:v>Linux</x:v>
      </x:c>
      <x:c r="F3" s="13" t="str">
        <x:v>IaaS</x:v>
      </x:c>
      <x:c r="G3" s="13" t="str">
        <x:v>신규</x:v>
      </x:c>
      <x:c r="H3" s="13" t="str">
        <x:v>마케팅플랫폼</x:v>
      </x:c>
      <x:c r="I3" s="13" t="str">
        <x:v>sbmpcoltws01</x:v>
      </x:c>
      <x:c r="J3" s="17" t="str">
        <x:v>마케팅플랫폼 WAS #01</x:v>
      </x:c>
      <x:c r="K3" s="13" t="str">
        <x:v>WAS</x:v>
      </x:c>
      <x:c r="L3" s="72" t="n">
        <x:v>31</x:v>
      </x:c>
      <x:c r="M3" s="74" t="n">
        <x:v>32</x:v>
      </x:c>
      <x:c r="N3" s="72" t="n">
        <x:v>256</x:v>
      </x:c>
      <x:c r="O3" s="72" t="n">
        <x:v>250</x:v>
      </x:c>
      <x:c r="P3" s="72" t="n">
        <x:v>110</x:v>
      </x:c>
      <x:c r="Q3" s="13" t="str">
        <x:v>ISP</x:v>
      </x:c>
      <x:c r="R3" s="72" t="n">
        <x:v>3381359</x:v>
      </x:c>
      <x:c r="S3" s="13" t="str">
        <x:v>-</x:v>
      </x:c>
      <x:c r="T3" s="30" t="str">
        <x:v>마케팅플랫폼+미니싱글뷰 통합구성</x:v>
      </x:c>
    </x:row>
    <x:row r="4">
      <x:c r="A4" s="29" t="n">
        <x:v>11</x:v>
      </x:c>
      <x:c r="B4" s="13" t="str">
        <x:v>개발</x:v>
      </x:c>
      <x:c r="C4" s="13" t="str">
        <x:v>의왕</x:v>
      </x:c>
      <x:c r="D4" s="13" t="str">
        <x:v>x86</x:v>
      </x:c>
      <x:c r="E4" s="13" t="str">
        <x:v>Linux</x:v>
      </x:c>
      <x:c r="F4" s="13" t="str">
        <x:v>IaaS</x:v>
      </x:c>
      <x:c r="G4" s="13" t="str">
        <x:v>신규</x:v>
      </x:c>
      <x:c r="H4" s="13" t="str">
        <x:v>마케팅플랫폼</x:v>
      </x:c>
      <x:c r="I4" s="13" t="str">
        <x:v>sbmpepltap01</x:v>
      </x:c>
      <x:c r="J4" s="17" t="str">
        <x:v>실시간 처리 AP #01</x:v>
      </x:c>
      <x:c r="K4" s="13" t="str">
        <x:v>AP</x:v>
      </x:c>
      <x:c r="L4" s="72" t="n">
        <x:v>13</x:v>
      </x:c>
      <x:c r="M4" s="74" t="n">
        <x:v>16</x:v>
      </x:c>
      <x:c r="N4" s="72" t="n">
        <x:v>32</x:v>
      </x:c>
      <x:c r="O4" s="72" t="n">
        <x:v>250</x:v>
      </x:c>
      <x:c r="P4" s="72" t="n">
        <x:v>1024</x:v>
      </x:c>
      <x:c r="Q4" s="13" t="str">
        <x:v>솔루션 권고 사양</x:v>
      </x:c>
      <x:c r="R4" s="72"/>
      <x:c r="S4" s="13" t="str">
        <x:v>-</x:v>
      </x:c>
      <x:c r="T4" s="30" t="str"/>
    </x:row>
    <x:row r="5">
      <x:c r="A5" s="29" t="n">
        <x:v>12</x:v>
      </x:c>
      <x:c r="B5" s="13" t="str">
        <x:v>개발</x:v>
      </x:c>
      <x:c r="C5" s="13" t="str">
        <x:v>의왕</x:v>
      </x:c>
      <x:c r="D5" s="13" t="str">
        <x:v>x86</x:v>
      </x:c>
      <x:c r="E5" s="13" t="str">
        <x:v>Linux</x:v>
      </x:c>
      <x:c r="F5" s="13" t="str">
        <x:v>IaaS</x:v>
      </x:c>
      <x:c r="G5" s="13" t="str">
        <x:v>신규</x:v>
      </x:c>
      <x:c r="H5" s="13" t="str">
        <x:v>마케팅플랫폼</x:v>
      </x:c>
      <x:c r="I5" s="13" t="str">
        <x:v>sbmppbltap01</x:v>
      </x:c>
      <x:c r="J5" s="17" t="str">
        <x:v>행동정보 처리 AP #01</x:v>
      </x:c>
      <x:c r="K5" s="13" t="str">
        <x:v>AP</x:v>
      </x:c>
      <x:c r="L5" s="72" t="n">
        <x:v>13</x:v>
      </x:c>
      <x:c r="M5" s="74" t="n">
        <x:v>16</x:v>
      </x:c>
      <x:c r="N5" s="72" t="n">
        <x:v>32</x:v>
      </x:c>
      <x:c r="O5" s="72" t="n">
        <x:v>250</x:v>
      </x:c>
      <x:c r="P5" s="72" t="n">
        <x:v>1024</x:v>
      </x:c>
      <x:c r="Q5" s="13" t="str">
        <x:v>솔루션 권고 사양</x:v>
      </x:c>
      <x:c r="R5" s="72"/>
      <x:c r="S5" s="13" t="str">
        <x:v>-</x:v>
      </x:c>
      <x:c r="T5" s="30" t="str"/>
    </x:row>
    <x:row r="6">
      <x:c r="A6" s="29" t="n">
        <x:v>13</x:v>
      </x:c>
      <x:c r="B6" s="13" t="str">
        <x:v>개발</x:v>
      </x:c>
      <x:c r="C6" s="13" t="str">
        <x:v>의왕</x:v>
      </x:c>
      <x:c r="D6" s="13" t="str">
        <x:v>x86</x:v>
      </x:c>
      <x:c r="E6" s="13" t="str">
        <x:v>Linux</x:v>
      </x:c>
      <x:c r="F6" s="13" t="str">
        <x:v>IaaS</x:v>
      </x:c>
      <x:c r="G6" s="13" t="str">
        <x:v>신규</x:v>
      </x:c>
      <x:c r="H6" s="13" t="str">
        <x:v>마케팅플랫폼</x:v>
      </x:c>
      <x:c r="I6" s="13" t="str">
        <x:v>sbmpbdltap01</x:v>
      </x:c>
      <x:c r="J6" s="17" t="str">
        <x:v>고객 행동 데이터 AP #01</x:v>
      </x:c>
      <x:c r="K6" s="13" t="str">
        <x:v>AP</x:v>
      </x:c>
      <x:c r="L6" s="72" t="n">
        <x:v>19</x:v>
      </x:c>
      <x:c r="M6" s="74" t="n">
        <x:v>16</x:v>
      </x:c>
      <x:c r="N6" s="72" t="n">
        <x:v>32</x:v>
      </x:c>
      <x:c r="O6" s="72" t="n">
        <x:v>250</x:v>
      </x:c>
      <x:c r="P6" s="72" t="n">
        <x:v>1024</x:v>
      </x:c>
      <x:c r="Q6" s="13" t="str">
        <x:v>솔루션 권고 사양</x:v>
      </x:c>
      <x:c r="R6" s="72"/>
      <x:c r="S6" s="13" t="str">
        <x:v>-</x:v>
      </x:c>
      <x:c r="T6" s="30" t="str"/>
    </x:row>
    <x:row r="7">
      <x:c r="A7" s="29" t="n">
        <x:v>14</x:v>
      </x:c>
      <x:c r="B7" s="13" t="str">
        <x:v>개발</x:v>
      </x:c>
      <x:c r="C7" s="13" t="str">
        <x:v>의왕</x:v>
      </x:c>
      <x:c r="D7" s="13" t="str">
        <x:v>x86</x:v>
      </x:c>
      <x:c r="E7" s="13" t="str">
        <x:v>Linux</x:v>
      </x:c>
      <x:c r="F7" s="13" t="str">
        <x:v>IaaS</x:v>
      </x:c>
      <x:c r="G7" s="13" t="str">
        <x:v>신규</x:v>
      </x:c>
      <x:c r="H7" s="13" t="str">
        <x:v>신BI포탈시스템</x:v>
      </x:c>
      <x:c r="I7" s="13" t="str">
        <x:v>sbbiptltwb01</x:v>
      </x:c>
      <x:c r="J7" s="17" t="str">
        <x:v>BI 포탈 WEB #01</x:v>
      </x:c>
      <x:c r="K7" s="13" t="str">
        <x:v>WEB</x:v>
      </x:c>
      <x:c r="L7" s="72" t="n">
        <x:v>2</x:v>
      </x:c>
      <x:c r="M7" s="74" t="n">
        <x:v>2</x:v>
      </x:c>
      <x:c r="N7" s="72" t="n">
        <x:v>8</x:v>
      </x:c>
      <x:c r="O7" s="72" t="n">
        <x:v>250</x:v>
      </x:c>
      <x:c r="P7" s="72" t="n">
        <x:v>110</x:v>
      </x:c>
      <x:c r="Q7" s="13" t="str">
        <x:v>ISP</x:v>
      </x:c>
      <x:c r="R7" s="72" t="n">
        <x:v>144828</x:v>
      </x:c>
      <x:c r="S7" s="13" t="str">
        <x:v>-</x:v>
      </x:c>
      <x:c r="T7" s="30" t="str"/>
    </x:row>
    <x:row r="8">
      <x:c r="A8" s="29" t="n">
        <x:v>15</x:v>
      </x:c>
      <x:c r="B8" s="13" t="str">
        <x:v>개발</x:v>
      </x:c>
      <x:c r="C8" s="13" t="str">
        <x:v>의왕</x:v>
      </x:c>
      <x:c r="D8" s="13" t="str">
        <x:v>x86</x:v>
      </x:c>
      <x:c r="E8" s="13" t="str">
        <x:v>Linux</x:v>
      </x:c>
      <x:c r="F8" s="13" t="str">
        <x:v>IaaS</x:v>
      </x:c>
      <x:c r="G8" s="13" t="str">
        <x:v>신규</x:v>
      </x:c>
      <x:c r="H8" s="13" t="str">
        <x:v>신BI포탈시스템</x:v>
      </x:c>
      <x:c r="I8" s="13" t="str">
        <x:v>sbbiptltws01</x:v>
      </x:c>
      <x:c r="J8" s="17" t="str">
        <x:v>BI 포탈 WAS #01</x:v>
      </x:c>
      <x:c r="K8" s="13" t="str">
        <x:v>WAS</x:v>
      </x:c>
      <x:c r="L8" s="72" t="n">
        <x:v>3</x:v>
      </x:c>
      <x:c r="M8" s="74" t="n">
        <x:v>4</x:v>
      </x:c>
      <x:c r="N8" s="72" t="n">
        <x:v>32</x:v>
      </x:c>
      <x:c r="O8" s="72" t="n">
        <x:v>250</x:v>
      </x:c>
      <x:c r="P8" s="72" t="n">
        <x:v>110</x:v>
      </x:c>
      <x:c r="Q8" s="13" t="str">
        <x:v>ISP</x:v>
      </x:c>
      <x:c r="R8" s="72" t="n">
        <x:v>282418</x:v>
      </x:c>
      <x:c r="S8" s="13" t="str">
        <x:v>-</x:v>
      </x:c>
      <x:c r="T8" s="30" t="str"/>
    </x:row>
    <x:row r="9">
      <x:c r="A9" s="29" t="n">
        <x:v>16</x:v>
      </x:c>
      <x:c r="B9" s="13" t="str">
        <x:v>개발</x:v>
      </x:c>
      <x:c r="C9" s="13" t="str">
        <x:v>의왕</x:v>
      </x:c>
      <x:c r="D9" s="13" t="str">
        <x:v>x86</x:v>
      </x:c>
      <x:c r="E9" s="13" t="str">
        <x:v>Linux</x:v>
      </x:c>
      <x:c r="F9" s="13" t="str">
        <x:v>IaaS</x:v>
      </x:c>
      <x:c r="G9" s="13" t="str">
        <x:v>신규</x:v>
      </x:c>
      <x:c r="H9" s="13" t="str">
        <x:v>신BI포탈시스템</x:v>
      </x:c>
      <x:c r="I9" s="13" t="str">
        <x:v>sbbicrltwb01</x:v>
      </x:c>
      <x:c r="J9" s="17" t="str">
        <x:v>신용 실적 WEB #01</x:v>
      </x:c>
      <x:c r="K9" s="13" t="str">
        <x:v>WEB</x:v>
      </x:c>
      <x:c r="L9" s="72" t="n">
        <x:v>1</x:v>
      </x:c>
      <x:c r="M9" s="74" t="n">
        <x:v>2</x:v>
      </x:c>
      <x:c r="N9" s="72" t="n">
        <x:v>8</x:v>
      </x:c>
      <x:c r="O9" s="72" t="n">
        <x:v>250</x:v>
      </x:c>
      <x:c r="P9" s="72" t="n">
        <x:v>170</x:v>
      </x:c>
      <x:c r="Q9" s="13" t="str">
        <x:v>ISP</x:v>
      </x:c>
      <x:c r="R9" s="72" t="n">
        <x:v>57492</x:v>
      </x:c>
      <x:c r="S9" s="13" t="str">
        <x:v>-</x:v>
      </x:c>
      <x:c r="T9" s="30" t="str"/>
    </x:row>
    <x:row r="10">
      <x:c r="A10" s="29" t="n">
        <x:v>17</x:v>
      </x:c>
      <x:c r="B10" s="13" t="str">
        <x:v>개발</x:v>
      </x:c>
      <x:c r="C10" s="13" t="str">
        <x:v>의왕</x:v>
      </x:c>
      <x:c r="D10" s="13" t="str">
        <x:v>x86</x:v>
      </x:c>
      <x:c r="E10" s="13" t="str">
        <x:v>Linux</x:v>
      </x:c>
      <x:c r="F10" s="13" t="str">
        <x:v>IaaS</x:v>
      </x:c>
      <x:c r="G10" s="13" t="str">
        <x:v>신규</x:v>
      </x:c>
      <x:c r="H10" s="13" t="str">
        <x:v>신BI포탈시스템</x:v>
      </x:c>
      <x:c r="I10" s="13" t="str">
        <x:v>sbbicrltws01</x:v>
      </x:c>
      <x:c r="J10" s="17" t="str">
        <x:v>신용 실적 WAS #01</x:v>
      </x:c>
      <x:c r="K10" s="13" t="str">
        <x:v>WAS</x:v>
      </x:c>
      <x:c r="L10" s="72" t="n">
        <x:v>3</x:v>
      </x:c>
      <x:c r="M10" s="74" t="n">
        <x:v>4</x:v>
      </x:c>
      <x:c r="N10" s="72" t="n">
        <x:v>32</x:v>
      </x:c>
      <x:c r="O10" s="72" t="n">
        <x:v>250</x:v>
      </x:c>
      <x:c r="P10" s="72" t="n">
        <x:v>170</x:v>
      </x:c>
      <x:c r="Q10" s="13" t="str">
        <x:v>ISP</x:v>
      </x:c>
      <x:c r="R10" s="72" t="n">
        <x:v>234894</x:v>
      </x:c>
      <x:c r="S10" s="13" t="str">
        <x:v>-</x:v>
      </x:c>
      <x:c r="T10" s="30" t="str"/>
    </x:row>
    <x:row r="11">
      <x:c r="A11" s="48" t="n">
        <x:v>18</x:v>
      </x:c>
      <x:c r="B11" s="49" t="str">
        <x:v>개발</x:v>
      </x:c>
      <x:c r="C11" s="49" t="str">
        <x:v>의왕</x:v>
      </x:c>
      <x:c r="D11" s="49" t="str">
        <x:v>x86</x:v>
      </x:c>
      <x:c r="E11" s="49" t="str">
        <x:v>Linux</x:v>
      </x:c>
      <x:c r="F11" s="49" t="str">
        <x:v>IaaS</x:v>
      </x:c>
      <x:c r="G11" s="49" t="str">
        <x:v>삭제</x:v>
      </x:c>
      <x:c r="H11" s="49" t="str">
        <x:v>신BI포탈시스템</x:v>
      </x:c>
      <x:c r="I11" s="49" t="str">
        <x:v>sbbioaltws01</x:v>
      </x:c>
      <x:c r="J11" s="49" t="str">
        <x:v>OLAP WEB/WAS #01</x:v>
      </x:c>
      <x:c r="K11" s="49" t="str">
        <x:v>WAS</x:v>
      </x:c>
      <x:c r="L11" s="73" t="n">
        <x:v>4</x:v>
      </x:c>
      <x:c r="M11" s="73"/>
      <x:c r="N11" s="73" t="n">
        <x:v>0</x:v>
      </x:c>
      <x:c r="O11" s="73" t="n">
        <x:v>250</x:v>
      </x:c>
      <x:c r="P11" s="73" t="n">
        <x:v>170</x:v>
      </x:c>
      <x:c r="Q11" s="49" t="str">
        <x:v>ISP</x:v>
      </x:c>
      <x:c r="R11" s="73" t="n">
        <x:v>356856</x:v>
      </x:c>
      <x:c r="S11" s="49" t="str">
        <x:v>-</x:v>
      </x:c>
      <x:c r="T11" s="50" t="str">
        <x:v>기존 OLAP 서버 유지</x:v>
      </x:c>
    </x:row>
    <x:row r="12">
      <x:c r="A12" s="48" t="n">
        <x:v>19</x:v>
      </x:c>
      <x:c r="B12" s="49" t="str">
        <x:v>개발</x:v>
      </x:c>
      <x:c r="C12" s="49" t="str">
        <x:v>의왕</x:v>
      </x:c>
      <x:c r="D12" s="49" t="str">
        <x:v>x86</x:v>
      </x:c>
      <x:c r="E12" s="49" t="str">
        <x:v>Linux</x:v>
      </x:c>
      <x:c r="F12" s="49" t="str">
        <x:v>IaaS</x:v>
      </x:c>
      <x:c r="G12" s="49" t="str">
        <x:v>삭제</x:v>
      </x:c>
      <x:c r="H12" s="49" t="str">
        <x:v>신BI포탈시스템</x:v>
      </x:c>
      <x:c r="I12" s="49" t="str">
        <x:v>sbbioaltap01</x:v>
      </x:c>
      <x:c r="J12" s="49" t="str">
        <x:v>OLAP AP #01</x:v>
      </x:c>
      <x:c r="K12" s="49" t="str">
        <x:v>AP</x:v>
      </x:c>
      <x:c r="L12" s="73" t="n">
        <x:v>11</x:v>
      </x:c>
      <x:c r="M12" s="73"/>
      <x:c r="N12" s="73" t="n">
        <x:v>0</x:v>
      </x:c>
      <x:c r="O12" s="73" t="n">
        <x:v>250</x:v>
      </x:c>
      <x:c r="P12" s="73" t="n">
        <x:v>100</x:v>
      </x:c>
      <x:c r="Q12" s="49" t="str">
        <x:v>ISP</x:v>
      </x:c>
      <x:c r="R12" s="73" t="n">
        <x:v>1172811</x:v>
      </x:c>
      <x:c r="S12" s="49" t="str">
        <x:v>-</x:v>
      </x:c>
      <x:c r="T12" s="50" t="str">
        <x:v>기존 OLAP 서버 유지</x:v>
      </x:c>
    </x:row>
    <x:row r="13">
      <x:c r="A13" s="29" t="n">
        <x:v>20</x:v>
      </x:c>
      <x:c r="B13" s="13" t="str">
        <x:v>개발</x:v>
      </x:c>
      <x:c r="C13" s="13" t="str">
        <x:v>의왕</x:v>
      </x:c>
      <x:c r="D13" s="13" t="str">
        <x:v>x86</x:v>
      </x:c>
      <x:c r="E13" s="13" t="str">
        <x:v>Linux</x:v>
      </x:c>
      <x:c r="F13" s="13" t="str">
        <x:v>IaaS</x:v>
      </x:c>
      <x:c r="G13" s="13" t="str">
        <x:v>신규</x:v>
      </x:c>
      <x:c r="H13" s="13" t="str">
        <x:v>신BI포탈시스템</x:v>
      </x:c>
      <x:c r="I13" s="13" t="str">
        <x:v>sbbisbltwb01</x:v>
      </x:c>
      <x:c r="J13" s="17" t="str">
        <x:v>Self-BI WEB #01</x:v>
      </x:c>
      <x:c r="K13" s="13" t="str">
        <x:v>WEB</x:v>
      </x:c>
      <x:c r="L13" s="72" t="n">
        <x:v>2</x:v>
      </x:c>
      <x:c r="M13" s="74" t="n">
        <x:v>2</x:v>
      </x:c>
      <x:c r="N13" s="72" t="n">
        <x:v>8</x:v>
      </x:c>
      <x:c r="O13" s="72" t="n">
        <x:v>250</x:v>
      </x:c>
      <x:c r="P13" s="72" t="n">
        <x:v>100</x:v>
      </x:c>
      <x:c r="Q13" s="13" t="str">
        <x:v>솔루션 권고 사양(운영 20% 적용)</x:v>
      </x:c>
      <x:c r="R13" s="72"/>
      <x:c r="S13" s="13" t="str">
        <x:v>-</x:v>
      </x:c>
      <x:c r="T13" s="30" t="str"/>
    </x:row>
    <x:row r="14">
      <x:c r="A14" s="29" t="n">
        <x:v>21</x:v>
      </x:c>
      <x:c r="B14" s="13" t="str">
        <x:v>개발</x:v>
      </x:c>
      <x:c r="C14" s="13" t="str">
        <x:v>의왕</x:v>
      </x:c>
      <x:c r="D14" s="13" t="str">
        <x:v>x86</x:v>
      </x:c>
      <x:c r="E14" s="13" t="str">
        <x:v>Linux</x:v>
      </x:c>
      <x:c r="F14" s="13" t="str">
        <x:v>IaaS</x:v>
      </x:c>
      <x:c r="G14" s="13" t="str">
        <x:v>신규</x:v>
      </x:c>
      <x:c r="H14" s="13" t="str">
        <x:v>신BI포탈시스템</x:v>
      </x:c>
      <x:c r="I14" s="13" t="str">
        <x:v>sbbisbltws01</x:v>
      </x:c>
      <x:c r="J14" s="17" t="str">
        <x:v>Self-BI WAS #01</x:v>
      </x:c>
      <x:c r="K14" s="13" t="str">
        <x:v>WAS</x:v>
      </x:c>
      <x:c r="L14" s="72" t="n">
        <x:v>8</x:v>
      </x:c>
      <x:c r="M14" s="74" t="n">
        <x:v>8</x:v>
      </x:c>
      <x:c r="N14" s="72" t="n">
        <x:v>64</x:v>
      </x:c>
      <x:c r="O14" s="72" t="n">
        <x:v>250</x:v>
      </x:c>
      <x:c r="P14" s="72" t="n">
        <x:v>200</x:v>
      </x:c>
      <x:c r="Q14" s="13" t="str">
        <x:v>솔루션 권고 사양(운영 20% 적용)</x:v>
      </x:c>
      <x:c r="R14" s="72"/>
      <x:c r="S14" s="13" t="str">
        <x:v>-</x:v>
      </x:c>
      <x:c r="T14" s="30" t="str">
        <x:v>AUD *Infoscale 적용여부 확인</x:v>
      </x:c>
    </x:row>
    <x:row r="15">
      <x:c r="A15" s="29" t="n">
        <x:v>22</x:v>
      </x:c>
      <x:c r="B15" s="13" t="str">
        <x:v>개발</x:v>
      </x:c>
      <x:c r="C15" s="13" t="str">
        <x:v>의왕</x:v>
      </x:c>
      <x:c r="D15" s="13" t="str">
        <x:v>x86</x:v>
      </x:c>
      <x:c r="E15" s="13" t="str">
        <x:v>Linux</x:v>
      </x:c>
      <x:c r="F15" s="13" t="str">
        <x:v>IaaS</x:v>
      </x:c>
      <x:c r="G15" s="13" t="str">
        <x:v>신규</x:v>
      </x:c>
      <x:c r="H15" s="13" t="str">
        <x:v>신BI포탈시스템</x:v>
      </x:c>
      <x:c r="I15" s="13" t="str">
        <x:v>sbbisbltap01</x:v>
      </x:c>
      <x:c r="J15" s="17" t="str">
        <x:v>Self-BI AP #01</x:v>
      </x:c>
      <x:c r="K15" s="13" t="str">
        <x:v>AP</x:v>
      </x:c>
      <x:c r="L15" s="72" t="n">
        <x:v>14</x:v>
      </x:c>
      <x:c r="M15" s="74" t="n">
        <x:v>8</x:v>
      </x:c>
      <x:c r="N15" s="72" t="n">
        <x:v>64</x:v>
      </x:c>
      <x:c r="O15" s="72" t="n">
        <x:v>250</x:v>
      </x:c>
      <x:c r="P15" s="72" t="n">
        <x:v>200</x:v>
      </x:c>
      <x:c r="Q15" s="13" t="str">
        <x:v>솔루션 권고 사양(운영 20% 적용)</x:v>
      </x:c>
      <x:c r="R15" s="72"/>
      <x:c r="S15" s="13" t="str">
        <x:v>-</x:v>
      </x:c>
      <x:c r="T15" s="30" t="str">
        <x:v>TRINITY</x:v>
      </x:c>
    </x:row>
    <x:row r="16">
      <x:c r="A16" s="29" t="n">
        <x:v>23</x:v>
      </x:c>
      <x:c r="B16" s="13" t="str">
        <x:v>개발</x:v>
      </x:c>
      <x:c r="C16" s="13" t="str">
        <x:v>의왕</x:v>
      </x:c>
      <x:c r="D16" s="13" t="str">
        <x:v>x86</x:v>
      </x:c>
      <x:c r="E16" s="13" t="str">
        <x:v>Linux</x:v>
      </x:c>
      <x:c r="F16" s="13" t="str">
        <x:v>IaaS</x:v>
      </x:c>
      <x:c r="G16" s="13" t="str">
        <x:v>신규</x:v>
      </x:c>
      <x:c r="H16" s="13" t="str">
        <x:v>데이터거버넌스</x:v>
      </x:c>
      <x:c r="I16" s="13" t="str">
        <x:v>sbdgdqltws01</x:v>
      </x:c>
      <x:c r="J16" s="17" t="str">
        <x:v>비즈메타/데이터품질 WAS #01</x:v>
      </x:c>
      <x:c r="K16" s="13" t="str">
        <x:v>WAS</x:v>
      </x:c>
      <x:c r="L16" s="72" t="n">
        <x:v>3</x:v>
      </x:c>
      <x:c r="M16" s="74" t="n">
        <x:v>4</x:v>
      </x:c>
      <x:c r="N16" s="72" t="n">
        <x:v>32</x:v>
      </x:c>
      <x:c r="O16" s="72" t="n">
        <x:v>250</x:v>
      </x:c>
      <x:c r="P16" s="72" t="n">
        <x:v>200</x:v>
      </x:c>
      <x:c r="Q16" s="13" t="str">
        <x:v>솔루션 권고 사양(운영 20% 적용)</x:v>
      </x:c>
      <x:c r="R16" s="72"/>
      <x:c r="S16" s="13" t="str">
        <x:v>-</x:v>
      </x:c>
      <x:c r="T16" s="30" t="str"/>
    </x:row>
    <x:row r="17">
      <x:c r="A17" s="29" t="n">
        <x:v>24</x:v>
      </x:c>
      <x:c r="B17" s="13" t="str">
        <x:v>개발</x:v>
      </x:c>
      <x:c r="C17" s="13" t="str">
        <x:v>의왕</x:v>
      </x:c>
      <x:c r="D17" s="13" t="str">
        <x:v>x86</x:v>
      </x:c>
      <x:c r="E17" s="13" t="str">
        <x:v>Linux</x:v>
      </x:c>
      <x:c r="F17" s="13" t="str">
        <x:v>IaaS</x:v>
      </x:c>
      <x:c r="G17" s="13" t="str">
        <x:v>신규</x:v>
      </x:c>
      <x:c r="H17" s="13" t="str">
        <x:v>데이터거버넌스</x:v>
      </x:c>
      <x:c r="I17" s="13" t="str">
        <x:v>sbdgdlltws01</x:v>
      </x:c>
      <x:c r="J17" s="17" t="str">
        <x:v>데이터흐름 WAS #01</x:v>
      </x:c>
      <x:c r="K17" s="13" t="str">
        <x:v>WAS</x:v>
      </x:c>
      <x:c r="L17" s="72" t="n">
        <x:v>3</x:v>
      </x:c>
      <x:c r="M17" s="74" t="n">
        <x:v>4</x:v>
      </x:c>
      <x:c r="N17" s="72" t="n">
        <x:v>32</x:v>
      </x:c>
      <x:c r="O17" s="72" t="n">
        <x:v>250</x:v>
      </x:c>
      <x:c r="P17" s="72" t="n">
        <x:v>300</x:v>
      </x:c>
      <x:c r="Q17" s="13" t="str">
        <x:v>솔루션 권고 사양(운영 20% 적용)</x:v>
      </x:c>
      <x:c r="R17" s="72"/>
      <x:c r="S17" s="13" t="str">
        <x:v>-</x:v>
      </x:c>
      <x:c r="T17" s="30" t="str"/>
    </x:row>
    <x:row r="18">
      <x:c r="A18" s="29" t="n">
        <x:v>25</x:v>
      </x:c>
      <x:c r="B18" s="13" t="str">
        <x:v>선도/개발</x:v>
      </x:c>
      <x:c r="C18" s="13" t="str">
        <x:v>의왕</x:v>
      </x:c>
      <x:c r="D18" s="13" t="str">
        <x:v>x86</x:v>
      </x:c>
      <x:c r="E18" s="13" t="str">
        <x:v>Linux</x:v>
      </x:c>
      <x:c r="F18" s="13" t="str">
        <x:v>IaaS</x:v>
      </x:c>
      <x:c r="G18" s="13" t="str">
        <x:v>신규</x:v>
      </x:c>
      <x:c r="H18" s="13" t="str">
        <x:v>IT 서비스 및 업무지원</x:v>
      </x:c>
      <x:c r="I18" s="13" t="str">
        <x:v>sbimxmltwb01</x:v>
      </x:c>
      <x:c r="J18" s="17" t="str">
        <x:v>단말관리 WEB #01</x:v>
      </x:c>
      <x:c r="K18" s="13" t="str">
        <x:v>WEB</x:v>
      </x:c>
      <x:c r="L18" s="72"/>
      <x:c r="M18" s="74" t="n">
        <x:v>4</x:v>
      </x:c>
      <x:c r="N18" s="72" t="n">
        <x:v>8</x:v>
      </x:c>
      <x:c r="O18" s="72" t="n">
        <x:v>250</x:v>
      </x:c>
      <x:c r="P18" s="72" t="n">
        <x:v>100</x:v>
      </x:c>
      <x:c r="Q18" s="13" t="str">
        <x:v>솔루션 권고 사양</x:v>
      </x:c>
      <x:c r="R18" s="72"/>
      <x:c r="S18" s="13" t="str">
        <x:v>-</x:v>
      </x:c>
      <x:c r="T18" s="30" t="str"/>
    </x:row>
    <x:row r="19">
      <x:c r="A19" s="29" t="n">
        <x:v>26</x:v>
      </x:c>
      <x:c r="B19" s="13" t="str">
        <x:v>선도/개발</x:v>
      </x:c>
      <x:c r="C19" s="13" t="str">
        <x:v>의왕</x:v>
      </x:c>
      <x:c r="D19" s="13" t="str">
        <x:v>x86</x:v>
      </x:c>
      <x:c r="E19" s="13" t="str">
        <x:v>Linux</x:v>
      </x:c>
      <x:c r="F19" s="13" t="str">
        <x:v>IaaS</x:v>
      </x:c>
      <x:c r="G19" s="13" t="str">
        <x:v>신규</x:v>
      </x:c>
      <x:c r="H19" s="13" t="str">
        <x:v>IT 서비스 및 업무지원</x:v>
      </x:c>
      <x:c r="I19" s="13" t="str">
        <x:v>sbimxmltws01</x:v>
      </x:c>
      <x:c r="J19" s="17" t="str">
        <x:v>단말관리 WAS #01</x:v>
      </x:c>
      <x:c r="K19" s="13" t="str">
        <x:v>WAS</x:v>
      </x:c>
      <x:c r="L19" s="72"/>
      <x:c r="M19" s="74" t="n">
        <x:v>4</x:v>
      </x:c>
      <x:c r="N19" s="72" t="n">
        <x:v>8</x:v>
      </x:c>
      <x:c r="O19" s="72" t="n">
        <x:v>250</x:v>
      </x:c>
      <x:c r="P19" s="72" t="n">
        <x:v>110</x:v>
      </x:c>
      <x:c r="Q19" s="13" t="str">
        <x:v>솔루션 권고 사양</x:v>
      </x:c>
      <x:c r="R19" s="72"/>
      <x:c r="S19" s="13" t="str">
        <x:v>-</x:v>
      </x:c>
      <x:c r="T19" s="30" t="str"/>
    </x:row>
    <x:row r="20">
      <x:c r="A20" s="29" t="n">
        <x:v>27</x:v>
      </x:c>
      <x:c r="B20" s="13" t="str">
        <x:v>선도/개발</x:v>
      </x:c>
      <x:c r="C20" s="13" t="str">
        <x:v>의왕</x:v>
      </x:c>
      <x:c r="D20" s="13" t="str">
        <x:v>x86</x:v>
      </x:c>
      <x:c r="E20" s="13" t="str">
        <x:v>Linux</x:v>
      </x:c>
      <x:c r="F20" s="13" t="str">
        <x:v>IaaS</x:v>
      </x:c>
      <x:c r="G20" s="13" t="str">
        <x:v>신규</x:v>
      </x:c>
      <x:c r="H20" s="13" t="str">
        <x:v>IT 서비스 및 업무지원</x:v>
      </x:c>
      <x:c r="I20" s="13" t="str">
        <x:v>sbimxdltwb01</x:v>
      </x:c>
      <x:c r="J20" s="17" t="str">
        <x:v>단말배포 WEB #01</x:v>
      </x:c>
      <x:c r="K20" s="13" t="str">
        <x:v>WEB</x:v>
      </x:c>
      <x:c r="L20" s="72"/>
      <x:c r="M20" s="74" t="n">
        <x:v>4</x:v>
      </x:c>
      <x:c r="N20" s="72" t="n">
        <x:v>8</x:v>
      </x:c>
      <x:c r="O20" s="72" t="n">
        <x:v>250</x:v>
      </x:c>
      <x:c r="P20" s="72" t="n">
        <x:v>100</x:v>
      </x:c>
      <x:c r="Q20" s="13" t="str">
        <x:v>솔루션 권고 사양</x:v>
      </x:c>
      <x:c r="R20" s="72"/>
      <x:c r="S20" s="13" t="str">
        <x:v>-</x:v>
      </x:c>
      <x:c r="T20" s="30" t="str"/>
    </x:row>
    <x:row r="21">
      <x:c r="A21" s="29" t="n">
        <x:v>28</x:v>
      </x:c>
      <x:c r="B21" s="13" t="str">
        <x:v>선도/개발</x:v>
      </x:c>
      <x:c r="C21" s="13" t="str">
        <x:v>의왕</x:v>
      </x:c>
      <x:c r="D21" s="13" t="str">
        <x:v>x86</x:v>
      </x:c>
      <x:c r="E21" s="13" t="str">
        <x:v>Linux</x:v>
      </x:c>
      <x:c r="F21" s="13" t="str">
        <x:v>IaaS</x:v>
      </x:c>
      <x:c r="G21" s="13" t="str">
        <x:v>신규</x:v>
      </x:c>
      <x:c r="H21" s="13" t="str">
        <x:v>IT 서비스 및 업무지원</x:v>
      </x:c>
      <x:c r="I21" s="13" t="str">
        <x:v>sbimxdltws01</x:v>
      </x:c>
      <x:c r="J21" s="17" t="str">
        <x:v>단말배포 WAS #01</x:v>
      </x:c>
      <x:c r="K21" s="13" t="str">
        <x:v>WAS</x:v>
      </x:c>
      <x:c r="L21" s="72"/>
      <x:c r="M21" s="74" t="n">
        <x:v>4</x:v>
      </x:c>
      <x:c r="N21" s="72" t="n">
        <x:v>8</x:v>
      </x:c>
      <x:c r="O21" s="72" t="n">
        <x:v>250</x:v>
      </x:c>
      <x:c r="P21" s="72" t="n">
        <x:v>110</x:v>
      </x:c>
      <x:c r="Q21" s="13" t="str">
        <x:v>솔루션 권고 사양</x:v>
      </x:c>
      <x:c r="R21" s="72"/>
      <x:c r="S21" s="13" t="str">
        <x:v>-</x:v>
      </x:c>
      <x:c r="T21" s="30" t="str"/>
    </x:row>
    <x:row r="22">
      <x:c r="A22" s="29" t="n">
        <x:v>29</x:v>
      </x:c>
      <x:c r="B22" s="13" t="str">
        <x:v>선도/개발</x:v>
      </x:c>
      <x:c r="C22" s="13" t="str">
        <x:v>의왕</x:v>
      </x:c>
      <x:c r="D22" s="13" t="str">
        <x:v>x86</x:v>
      </x:c>
      <x:c r="E22" s="13" t="str">
        <x:v>Linux</x:v>
      </x:c>
      <x:c r="F22" s="13" t="str">
        <x:v>IaaS</x:v>
      </x:c>
      <x:c r="G22" s="13" t="str">
        <x:v>신규</x:v>
      </x:c>
      <x:c r="H22" s="13" t="str">
        <x:v>IT 서비스 및 업무지원</x:v>
      </x:c>
      <x:c r="I22" s="13" t="str">
        <x:v>sbimxmltap01</x:v>
      </x:c>
      <x:c r="J22" s="17" t="str">
        <x:v>단말개발도구 AP #01</x:v>
      </x:c>
      <x:c r="K22" s="13" t="str">
        <x:v>AP</x:v>
      </x:c>
      <x:c r="L22" s="72"/>
      <x:c r="M22" s="74" t="n">
        <x:v>4</x:v>
      </x:c>
      <x:c r="N22" s="72" t="n">
        <x:v>8</x:v>
      </x:c>
      <x:c r="O22" s="72" t="n">
        <x:v>250</x:v>
      </x:c>
      <x:c r="P22" s="72" t="n">
        <x:v>100</x:v>
      </x:c>
      <x:c r="Q22" s="13" t="str">
        <x:v>솔루션 권고 사양</x:v>
      </x:c>
      <x:c r="R22" s="72"/>
      <x:c r="S22" s="13" t="str">
        <x:v>-</x:v>
      </x:c>
      <x:c r="T22" s="30" t="str"/>
    </x:row>
    <x:row r="23">
      <x:c r="A23" s="29" t="n">
        <x:v>30</x:v>
      </x:c>
      <x:c r="B23" s="13" t="str">
        <x:v>개발</x:v>
      </x:c>
      <x:c r="C23" s="13" t="str">
        <x:v>의왕</x:v>
      </x:c>
      <x:c r="D23" s="13" t="str">
        <x:v>x86</x:v>
      </x:c>
      <x:c r="E23" s="13" t="str">
        <x:v>Linux</x:v>
      </x:c>
      <x:c r="F23" s="13" t="str">
        <x:v>IaaS</x:v>
      </x:c>
      <x:c r="G23" s="13" t="str">
        <x:v>신규</x:v>
      </x:c>
      <x:c r="H23" s="13" t="str">
        <x:v>IT 서비스 및 업무지원</x:v>
      </x:c>
      <x:c r="I23" s="13" t="str">
        <x:v>sbimbjltap01</x:v>
      </x:c>
      <x:c r="J23" s="17" t="str">
        <x:v>배치 AP #01</x:v>
      </x:c>
      <x:c r="K23" s="13" t="str">
        <x:v>AP</x:v>
      </x:c>
      <x:c r="L23" s="72" t="n">
        <x:v>5</x:v>
      </x:c>
      <x:c r="M23" s="74" t="n">
        <x:v>6</x:v>
      </x:c>
      <x:c r="N23" s="72" t="n">
        <x:v>96</x:v>
      </x:c>
      <x:c r="O23" s="72" t="n">
        <x:v>250</x:v>
      </x:c>
      <x:c r="P23" s="72"/>
      <x:c r="Q23" s="13" t="str">
        <x:v>은행 기준적용</x:v>
      </x:c>
      <x:c r="R23" s="72"/>
      <x:c r="S23" s="13" t="str">
        <x:v>-</x:v>
      </x:c>
      <x:c r="T23" s="30" t="str"/>
    </x:row>
    <x:row r="24">
      <x:c r="A24" s="54" t="n">
        <x:v>31</x:v>
      </x:c>
      <x:c r="B24" s="21" t="str">
        <x:v>개발</x:v>
      </x:c>
      <x:c r="C24" s="21" t="str">
        <x:v>의왕</x:v>
      </x:c>
      <x:c r="D24" s="21" t="str">
        <x:v>x86</x:v>
      </x:c>
      <x:c r="E24" s="21" t="str">
        <x:v>Linux</x:v>
      </x:c>
      <x:c r="F24" s="21" t="str">
        <x:v>IaaS</x:v>
      </x:c>
      <x:c r="G24" s="21" t="str">
        <x:v>신규</x:v>
      </x:c>
      <x:c r="H24" s="21" t="str">
        <x:v>IT 서비스 및 업무지원</x:v>
      </x:c>
      <x:c r="I24" s="21" t="str">
        <x:v>sbimrdltws01</x:v>
      </x:c>
      <x:c r="J24" s="21" t="str">
        <x:v>출력물(RD) WAS #01</x:v>
      </x:c>
      <x:c r="K24" s="21" t="str">
        <x:v>WAS</x:v>
      </x:c>
      <x:c r="L24" s="74"/>
      <x:c r="M24" s="74" t="n">
        <x:v>0</x:v>
      </x:c>
      <x:c r="N24" s="74" t="n">
        <x:v>0</x:v>
      </x:c>
      <x:c r="O24" s="74" t="n">
        <x:v>250</x:v>
      </x:c>
      <x:c r="P24" s="74" t="n">
        <x:v>110</x:v>
      </x:c>
      <x:c r="Q24" s="21" t="str">
        <x:v>솔루션 권고 사양</x:v>
      </x:c>
      <x:c r="R24" s="74"/>
      <x:c r="S24" s="21" t="str">
        <x:v>-</x:v>
      </x:c>
      <x:c r="T24" s="55" t="str"/>
    </x:row>
    <x:row r="25">
      <x:c r="A25" s="29" t="n">
        <x:v>32</x:v>
      </x:c>
      <x:c r="B25" s="13" t="str">
        <x:v>개발</x:v>
      </x:c>
      <x:c r="C25" s="13" t="str">
        <x:v>의왕</x:v>
      </x:c>
      <x:c r="D25" s="13" t="str">
        <x:v>x86</x:v>
      </x:c>
      <x:c r="E25" s="13" t="str">
        <x:v>Linux</x:v>
      </x:c>
      <x:c r="F25" s="13" t="str">
        <x:v>IaaS</x:v>
      </x:c>
      <x:c r="G25" s="13" t="str">
        <x:v>신규</x:v>
      </x:c>
      <x:c r="H25" s="13" t="str">
        <x:v>IT 서비스 및 업무지원</x:v>
      </x:c>
      <x:c r="I25" s="13" t="str">
        <x:v>sbimdtltl01</x:v>
      </x:c>
      <x:c r="J25" s="17" t="str">
        <x:v>ETL #01</x:v>
      </x:c>
      <x:c r="K25" s="13" t="str">
        <x:v>AP</x:v>
      </x:c>
      <x:c r="L25" s="72" t="n">
        <x:v>23</x:v>
      </x:c>
      <x:c r="M25" s="74" t="n">
        <x:v>16</x:v>
      </x:c>
      <x:c r="N25" s="72" t="n">
        <x:v>64</x:v>
      </x:c>
      <x:c r="O25" s="72" t="n">
        <x:v>250</x:v>
      </x:c>
      <x:c r="P25" s="72" t="n">
        <x:v>1000</x:v>
      </x:c>
      <x:c r="Q25" s="13" t="str">
        <x:v>ISP</x:v>
      </x:c>
      <x:c r="R25" s="72" t="n">
        <x:v>2527327</x:v>
      </x:c>
      <x:c r="S25" s="13" t="str">
        <x:v>-</x:v>
      </x:c>
      <x:c r="T25" s="30" t="str"/>
    </x:row>
    <x:row r="26">
      <x:c r="A26" s="29" t="n">
        <x:v>33</x:v>
      </x:c>
      <x:c r="B26" s="13" t="str">
        <x:v>선도/개발</x:v>
      </x:c>
      <x:c r="C26" s="13" t="str">
        <x:v>의왕</x:v>
      </x:c>
      <x:c r="D26" s="13" t="str">
        <x:v>x86</x:v>
      </x:c>
      <x:c r="E26" s="13" t="str">
        <x:v>Linux</x:v>
      </x:c>
      <x:c r="F26" s="13" t="str">
        <x:v>IaaS</x:v>
      </x:c>
      <x:c r="G26" s="13" t="str">
        <x:v>신규</x:v>
      </x:c>
      <x:c r="H26" s="13" t="str">
        <x:v>IT 서비스 및 업무지원</x:v>
      </x:c>
      <x:c r="I26" s="13" t="str">
        <x:v>sbimsmltap01</x:v>
      </x:c>
      <x:c r="J26" s="17" t="str">
        <x:v>소스관리 AP #01</x:v>
      </x:c>
      <x:c r="K26" s="13" t="str">
        <x:v>AP</x:v>
      </x:c>
      <x:c r="L26" s="72" t="n">
        <x:v>4</x:v>
      </x:c>
      <x:c r="M26" s="74" t="n">
        <x:v>4</x:v>
      </x:c>
      <x:c r="N26" s="72" t="n">
        <x:v>32</x:v>
      </x:c>
      <x:c r="O26" s="72" t="n">
        <x:v>250</x:v>
      </x:c>
      <x:c r="P26" s="72" t="n">
        <x:v>200</x:v>
      </x:c>
      <x:c r="Q26" s="13" t="str">
        <x:v>은행 기준적용</x:v>
      </x:c>
      <x:c r="R26" s="72"/>
      <x:c r="S26" s="13" t="str">
        <x:v>-</x:v>
      </x:c>
      <x:c r="T26" s="30" t="str">
        <x:v>배포관리와 통합 구성 검토</x:v>
      </x:c>
    </x:row>
    <x:row r="27">
      <x:c r="A27" s="58" t="n">
        <x:v>34</x:v>
      </x:c>
      <x:c r="B27" s="59" t="str">
        <x:v>선도/개발</x:v>
      </x:c>
      <x:c r="C27" s="59" t="str">
        <x:v>의왕</x:v>
      </x:c>
      <x:c r="D27" s="59" t="str">
        <x:v>x86</x:v>
      </x:c>
      <x:c r="E27" s="59" t="str">
        <x:v>Linux</x:v>
      </x:c>
      <x:c r="F27" s="59" t="str">
        <x:v>IaaS</x:v>
      </x:c>
      <x:c r="G27" s="59" t="str">
        <x:v>삭제검토</x:v>
      </x:c>
      <x:c r="H27" s="59" t="str">
        <x:v>IT 서비스 및 업무지원</x:v>
      </x:c>
      <x:c r="I27" s="59" t="str">
        <x:v>sbimdpltap01</x:v>
      </x:c>
      <x:c r="J27" s="59" t="str">
        <x:v>배포관리 AP #01</x:v>
      </x:c>
      <x:c r="K27" s="59" t="str">
        <x:v>AP</x:v>
      </x:c>
      <x:c r="L27" s="75" t="n">
        <x:v>4</x:v>
      </x:c>
      <x:c r="M27" s="75"/>
      <x:c r="N27" s="75" t="n">
        <x:v>0</x:v>
      </x:c>
      <x:c r="O27" s="75" t="n">
        <x:v>250</x:v>
      </x:c>
      <x:c r="P27" s="75" t="n">
        <x:v>100</x:v>
      </x:c>
      <x:c r="Q27" s="59" t="str"/>
      <x:c r="R27" s="75"/>
      <x:c r="S27" s="59" t="str">
        <x:v>-</x:v>
      </x:c>
      <x:c r="T27" s="60" t="str"/>
    </x:row>
    <x:row r="28">
      <x:c r="A28" s="29" t="n">
        <x:v>35</x:v>
      </x:c>
      <x:c r="B28" s="13" t="str">
        <x:v>선도/개발</x:v>
      </x:c>
      <x:c r="C28" s="13" t="str">
        <x:v>의왕</x:v>
      </x:c>
      <x:c r="D28" s="13" t="str">
        <x:v>x86</x:v>
      </x:c>
      <x:c r="E28" s="13" t="str">
        <x:v>Linux</x:v>
      </x:c>
      <x:c r="F28" s="13" t="str">
        <x:v>IaaS</x:v>
      </x:c>
      <x:c r="G28" s="13" t="str">
        <x:v>기존</x:v>
      </x:c>
      <x:c r="H28" s="13" t="str">
        <x:v>IT 서비스 및 업무지원</x:v>
      </x:c>
      <x:c r="I28" s="13" t="str"/>
      <x:c r="J28" s="17" t="str">
        <x:v>마스터관리 #01</x:v>
      </x:c>
      <x:c r="K28" s="13" t="str"/>
      <x:c r="L28" s="72"/>
      <x:c r="M28" s="74"/>
      <x:c r="N28" s="72"/>
      <x:c r="O28" s="72"/>
      <x:c r="P28" s="72"/>
      <x:c r="Q28" s="13" t="str"/>
      <x:c r="R28" s="72"/>
      <x:c r="S28" s="13" t="str">
        <x:v>-</x:v>
      </x:c>
      <x:c r="T28" s="30" t="str">
        <x:v>테크시스템부 미들웨어팀에 요청</x:v>
      </x:c>
    </x:row>
    <x:row r="29">
      <x:c r="A29" s="29" t="n">
        <x:v>36</x:v>
      </x:c>
      <x:c r="B29" s="13" t="str">
        <x:v>선도/개발</x:v>
      </x:c>
      <x:c r="C29" s="13" t="str">
        <x:v>의왕</x:v>
      </x:c>
      <x:c r="D29" s="13" t="str">
        <x:v>x86</x:v>
      </x:c>
      <x:c r="E29" s="13" t="str">
        <x:v>Linux</x:v>
      </x:c>
      <x:c r="F29" s="13" t="str">
        <x:v>IaaS</x:v>
      </x:c>
      <x:c r="G29" s="13" t="str">
        <x:v>기존</x:v>
      </x:c>
      <x:c r="H29" s="13" t="str">
        <x:v>IT 서비스 및 업무지원</x:v>
      </x:c>
      <x:c r="I29" s="13" t="str"/>
      <x:c r="J29" s="17" t="str">
        <x:v>라이브러리 #01</x:v>
      </x:c>
      <x:c r="K29" s="13" t="str"/>
      <x:c r="L29" s="72"/>
      <x:c r="M29" s="74"/>
      <x:c r="N29" s="72"/>
      <x:c r="O29" s="72"/>
      <x:c r="P29" s="72"/>
      <x:c r="Q29" s="13" t="str"/>
      <x:c r="R29" s="72"/>
      <x:c r="S29" s="13" t="str">
        <x:v>-</x:v>
      </x:c>
      <x:c r="T29" s="30" t="str">
        <x:v>AS-IS Nexus 사용</x:v>
      </x:c>
    </x:row>
    <x:row r="30">
      <x:c r="A30" s="29" t="n">
        <x:v>37</x:v>
      </x:c>
      <x:c r="B30" s="13" t="str">
        <x:v>개발</x:v>
      </x:c>
      <x:c r="C30" s="13" t="str">
        <x:v>의왕</x:v>
      </x:c>
      <x:c r="D30" s="13" t="str">
        <x:v>x86</x:v>
      </x:c>
      <x:c r="E30" s="13" t="str">
        <x:v>Linux</x:v>
      </x:c>
      <x:c r="F30" s="13" t="str">
        <x:v>IaaS</x:v>
      </x:c>
      <x:c r="G30" s="13" t="str">
        <x:v>신규</x:v>
      </x:c>
      <x:c r="H30" s="13" t="str">
        <x:v>IT 서비스 및 업무지원</x:v>
      </x:c>
      <x:c r="I30" s="13" t="str">
        <x:v>sbimcdltap01</x:v>
      </x:c>
      <x:c r="J30" s="17" t="str">
        <x:v>UNO Dashboard #01</x:v>
      </x:c>
      <x:c r="K30" s="13" t="str">
        <x:v>AP</x:v>
      </x:c>
      <x:c r="L30" s="72"/>
      <x:c r="M30" s="74" t="n">
        <x:v>4</x:v>
      </x:c>
      <x:c r="N30" s="72" t="n">
        <x:v>8</x:v>
      </x:c>
      <x:c r="O30" s="72" t="n">
        <x:v>250</x:v>
      </x:c>
      <x:c r="P30" s="72" t="n">
        <x:v>10</x:v>
      </x:c>
      <x:c r="Q30" s="13" t="str">
        <x:v>고객 요청사항</x:v>
      </x:c>
      <x:c r="R30" s="72"/>
      <x:c r="S30" s="13" t="str">
        <x:v>-</x:v>
      </x:c>
      <x:c r="T30" s="30" t="str">
        <x:v>OGG 모니터링</x:v>
      </x:c>
    </x:row>
    <x:row r="31">
      <x:c r="A31" s="29" t="n">
        <x:v>38</x:v>
      </x:c>
      <x:c r="B31" s="13" t="str">
        <x:v>개발</x:v>
      </x:c>
      <x:c r="C31" s="13" t="str">
        <x:v>의왕</x:v>
      </x:c>
      <x:c r="D31" s="13" t="str">
        <x:v>x86</x:v>
      </x:c>
      <x:c r="E31" s="13" t="str">
        <x:v>Linux</x:v>
      </x:c>
      <x:c r="F31" s="13" t="str">
        <x:v>IaaS</x:v>
      </x:c>
      <x:c r="G31" s="13" t="str">
        <x:v>임시</x:v>
      </x:c>
      <x:c r="H31" s="13" t="str">
        <x:v>IT 서비스 및 업무지원</x:v>
      </x:c>
      <x:c r="I31" s="13" t="str">
        <x:v>sbimsltap01</x:v>
      </x:c>
      <x:c r="J31" s="17" t="str">
        <x:v>SQL 품질</x:v>
      </x:c>
      <x:c r="K31" s="13" t="str">
        <x:v>AP</x:v>
      </x:c>
      <x:c r="L31" s="72" t="n">
        <x:v>16</x:v>
      </x:c>
      <x:c r="M31" s="74" t="n">
        <x:v>16</x:v>
      </x:c>
      <x:c r="N31" s="72" t="n">
        <x:v>32</x:v>
      </x:c>
      <x:c r="O31" s="72" t="n">
        <x:v>250</x:v>
      </x:c>
      <x:c r="P31" s="72" t="n">
        <x:v>100</x:v>
      </x:c>
      <x:c r="Q31" s="13" t="str">
        <x:v>은행 기준적용</x:v>
      </x:c>
      <x:c r="R31" s="72"/>
      <x:c r="S31" s="13" t="str">
        <x:v>-</x:v>
      </x:c>
      <x:c r="T31" s="30" t="str"/>
    </x:row>
    <x:row r="32">
      <x:c r="A32" s="29" t="n">
        <x:v>39</x:v>
      </x:c>
      <x:c r="B32" s="13" t="str">
        <x:v>선도/개발</x:v>
      </x:c>
      <x:c r="C32" s="13" t="str">
        <x:v>의왕</x:v>
      </x:c>
      <x:c r="D32" s="13" t="str">
        <x:v>Oracle</x:v>
      </x:c>
      <x:c r="E32" s="13" t="str">
        <x:v>Linux</x:v>
      </x:c>
      <x:c r="F32" s="64" t="str">
        <x:v>어플라이언스</x:v>
      </x:c>
      <x:c r="G32" s="13" t="str">
        <x:v>신규</x:v>
      </x:c>
      <x:c r="H32" s="13" t="str">
        <x:v>데이터플랫폼 시스템</x:v>
      </x:c>
      <x:c r="I32" s="13" t="str">
        <x:v>sbrdcoxtdb01</x:v>
      </x:c>
      <x:c r="J32" s="17" t="str">
        <x:v>RDW 어플라이언스 #01</x:v>
      </x:c>
      <x:c r="K32" s="13" t="str">
        <x:v>DB</x:v>
      </x:c>
      <x:c r="L32" s="72" t="n">
        <x:v>48</x:v>
      </x:c>
      <x:c r="M32" s="74" t="n">
        <x:v>48</x:v>
      </x:c>
      <x:c r="N32" s="72" t="n">
        <x:v>768</x:v>
      </x:c>
      <x:c r="O32" s="72"/>
      <x:c r="P32" s="72" t="n">
        <x:v>124928</x:v>
      </x:c>
      <x:c r="Q32" s="13" t="str">
        <x:v>ISP</x:v>
      </x:c>
      <x:c r="R32" s="72" t="n">
        <x:v>21661882</x:v>
      </x:c>
      <x:c r="S32" s="13" t="str">
        <x:v>-</x:v>
      </x:c>
      <x:c r="T32" s="30" t="str">
        <x:v>Eighth Rack</x:v>
      </x:c>
    </x:row>
    <x:row r="33">
      <x:c r="A33" s="29" t="n">
        <x:v>40</x:v>
      </x:c>
      <x:c r="B33" s="13" t="str">
        <x:v>선도/개발</x:v>
      </x:c>
      <x:c r="C33" s="13" t="str">
        <x:v>의왕</x:v>
      </x:c>
      <x:c r="D33" s="13" t="str">
        <x:v>Oracle</x:v>
      </x:c>
      <x:c r="E33" s="13" t="str">
        <x:v>Linux</x:v>
      </x:c>
      <x:c r="F33" s="64" t="str">
        <x:v>어플라이언스</x:v>
      </x:c>
      <x:c r="G33" s="13" t="str">
        <x:v>신규</x:v>
      </x:c>
      <x:c r="H33" s="13" t="str">
        <x:v>데이터플랫폼 시스템</x:v>
      </x:c>
      <x:c r="I33" s="13" t="str">
        <x:v>sbrdcoxtdb02</x:v>
      </x:c>
      <x:c r="J33" s="17" t="str">
        <x:v>RDW 어플라이언스 #02</x:v>
      </x:c>
      <x:c r="K33" s="13" t="str">
        <x:v>DB</x:v>
      </x:c>
      <x:c r="L33" s="72" t="n">
        <x:v>48</x:v>
      </x:c>
      <x:c r="M33" s="74" t="n">
        <x:v>48</x:v>
      </x:c>
      <x:c r="N33" s="72" t="n">
        <x:v>768</x:v>
      </x:c>
      <x:c r="O33" s="72"/>
      <x:c r="P33" s="72" t="n">
        <x:v>124928</x:v>
      </x:c>
      <x:c r="Q33" s="13" t="str">
        <x:v>ISP</x:v>
      </x:c>
      <x:c r="R33" s="72" t="n">
        <x:v>21661882</x:v>
      </x:c>
      <x:c r="S33" s="13" t="str">
        <x:v>-</x:v>
      </x:c>
      <x:c r="T33" s="30" t="str">
        <x:v>Eighth Rack</x:v>
      </x:c>
    </x:row>
    <x:row r="34">
      <x:c r="A34" s="29" t="n">
        <x:v>41</x:v>
      </x:c>
      <x:c r="B34" s="13" t="str">
        <x:v>운영</x:v>
      </x:c>
      <x:c r="C34" s="13" t="str">
        <x:v>의왕</x:v>
      </x:c>
      <x:c r="D34" s="13" t="str">
        <x:v>x86</x:v>
      </x:c>
      <x:c r="E34" s="13" t="str">
        <x:v>Linux</x:v>
      </x:c>
      <x:c r="F34" s="13" t="str">
        <x:v>IaaS</x:v>
      </x:c>
      <x:c r="G34" s="13" t="str">
        <x:v>신규</x:v>
      </x:c>
      <x:c r="H34" s="13" t="str">
        <x:v>마케팅플랫폼</x:v>
      </x:c>
      <x:c r="I34" s="13" t="str">
        <x:v>sbmpcolowb01</x:v>
      </x:c>
      <x:c r="J34" s="17" t="str">
        <x:v>마케팅플랫폼 WEB #01</x:v>
      </x:c>
      <x:c r="K34" s="13" t="str">
        <x:v>WEB</x:v>
      </x:c>
      <x:c r="L34" s="72" t="n">
        <x:v>11</x:v>
      </x:c>
      <x:c r="M34" s="74" t="n">
        <x:v>12</x:v>
      </x:c>
      <x:c r="N34" s="72" t="n">
        <x:v>48</x:v>
      </x:c>
      <x:c r="O34" s="72" t="n">
        <x:v>250</x:v>
      </x:c>
      <x:c r="P34" s="72" t="n">
        <x:v>100</x:v>
      </x:c>
      <x:c r="Q34" s="13" t="str">
        <x:v>ISP</x:v>
      </x:c>
      <x:c r="R34" s="72" t="n">
        <x:v>1130017</x:v>
      </x:c>
      <x:c r="S34" s="66" t="str">
        <x:v>O</x:v>
      </x:c>
      <x:c r="T34" s="30" t="str"/>
    </x:row>
    <x:row r="35">
      <x:c r="A35" s="29" t="n">
        <x:v>42</x:v>
      </x:c>
      <x:c r="B35" s="13" t="str">
        <x:v>운영</x:v>
      </x:c>
      <x:c r="C35" s="13" t="str">
        <x:v>의왕</x:v>
      </x:c>
      <x:c r="D35" s="13" t="str">
        <x:v>x86</x:v>
      </x:c>
      <x:c r="E35" s="13" t="str">
        <x:v>Linux</x:v>
      </x:c>
      <x:c r="F35" s="13" t="str">
        <x:v>IaaS</x:v>
      </x:c>
      <x:c r="G35" s="13" t="str">
        <x:v>신규</x:v>
      </x:c>
      <x:c r="H35" s="13" t="str">
        <x:v>마케팅플랫폼</x:v>
      </x:c>
      <x:c r="I35" s="13" t="str">
        <x:v>sbmpcolowb02</x:v>
      </x:c>
      <x:c r="J35" s="17" t="str">
        <x:v>마케팅플랫폼 WEB #02</x:v>
      </x:c>
      <x:c r="K35" s="13" t="str">
        <x:v>WEB</x:v>
      </x:c>
      <x:c r="L35" s="72" t="n">
        <x:v>11</x:v>
      </x:c>
      <x:c r="M35" s="74" t="n">
        <x:v>12</x:v>
      </x:c>
      <x:c r="N35" s="72" t="n">
        <x:v>48</x:v>
      </x:c>
      <x:c r="O35" s="72" t="n">
        <x:v>250</x:v>
      </x:c>
      <x:c r="P35" s="72" t="n">
        <x:v>100</x:v>
      </x:c>
      <x:c r="Q35" s="13" t="str">
        <x:v>ISP</x:v>
      </x:c>
      <x:c r="R35" s="72" t="n">
        <x:v>1130017</x:v>
      </x:c>
      <x:c r="S35" s="66" t="str">
        <x:v>O</x:v>
      </x:c>
      <x:c r="T35" s="30" t="str"/>
    </x:row>
    <x:row r="36">
      <x:c r="A36" s="29" t="n">
        <x:v>43</x:v>
      </x:c>
      <x:c r="B36" s="13" t="str">
        <x:v>운영</x:v>
      </x:c>
      <x:c r="C36" s="13" t="str">
        <x:v>의왕</x:v>
      </x:c>
      <x:c r="D36" s="13" t="str">
        <x:v>x86</x:v>
      </x:c>
      <x:c r="E36" s="13" t="str">
        <x:v>Linux</x:v>
      </x:c>
      <x:c r="F36" s="13" t="str">
        <x:v>IaaS</x:v>
      </x:c>
      <x:c r="G36" s="13" t="str">
        <x:v>신규</x:v>
      </x:c>
      <x:c r="H36" s="13" t="str">
        <x:v>마케팅플랫폼</x:v>
      </x:c>
      <x:c r="I36" s="13" t="str">
        <x:v>sbmpcolows01</x:v>
      </x:c>
      <x:c r="J36" s="17" t="str">
        <x:v>마케팅플랫폼 WAS #01</x:v>
      </x:c>
      <x:c r="K36" s="13" t="str">
        <x:v>WAS</x:v>
      </x:c>
      <x:c r="L36" s="72" t="n">
        <x:v>35</x:v>
      </x:c>
      <x:c r="M36" s="74" t="n">
        <x:v>32</x:v>
      </x:c>
      <x:c r="N36" s="72" t="n">
        <x:v>256</x:v>
      </x:c>
      <x:c r="O36" s="72" t="n">
        <x:v>250</x:v>
      </x:c>
      <x:c r="P36" s="72" t="n">
        <x:v>110</x:v>
      </x:c>
      <x:c r="Q36" s="13" t="str">
        <x:v>ISP</x:v>
      </x:c>
      <x:c r="R36" s="72" t="n">
        <x:v>3849561</x:v>
      </x:c>
      <x:c r="S36" s="66" t="str">
        <x:v>O</x:v>
      </x:c>
      <x:c r="T36" s="30" t="str"/>
    </x:row>
    <x:row r="37">
      <x:c r="A37" s="29" t="n">
        <x:v>44</x:v>
      </x:c>
      <x:c r="B37" s="13" t="str">
        <x:v>운영</x:v>
      </x:c>
      <x:c r="C37" s="13" t="str">
        <x:v>의왕</x:v>
      </x:c>
      <x:c r="D37" s="13" t="str">
        <x:v>x86</x:v>
      </x:c>
      <x:c r="E37" s="13" t="str">
        <x:v>Linux</x:v>
      </x:c>
      <x:c r="F37" s="13" t="str">
        <x:v>IaaS</x:v>
      </x:c>
      <x:c r="G37" s="13" t="str">
        <x:v>신규</x:v>
      </x:c>
      <x:c r="H37" s="13" t="str">
        <x:v>마케팅플랫폼</x:v>
      </x:c>
      <x:c r="I37" s="13" t="str">
        <x:v>sbmpcolows02</x:v>
      </x:c>
      <x:c r="J37" s="17" t="str">
        <x:v>마케팅플랫폼 WAS #02</x:v>
      </x:c>
      <x:c r="K37" s="13" t="str">
        <x:v>WAS</x:v>
      </x:c>
      <x:c r="L37" s="72" t="n">
        <x:v>35</x:v>
      </x:c>
      <x:c r="M37" s="74" t="n">
        <x:v>32</x:v>
      </x:c>
      <x:c r="N37" s="72" t="n">
        <x:v>256</x:v>
      </x:c>
      <x:c r="O37" s="72" t="n">
        <x:v>250</x:v>
      </x:c>
      <x:c r="P37" s="72" t="n">
        <x:v>110</x:v>
      </x:c>
      <x:c r="Q37" s="13" t="str">
        <x:v>ISP</x:v>
      </x:c>
      <x:c r="R37" s="72" t="n">
        <x:v>3849561</x:v>
      </x:c>
      <x:c r="S37" s="66" t="str">
        <x:v>O</x:v>
      </x:c>
      <x:c r="T37" s="30" t="str"/>
    </x:row>
    <x:row r="38">
      <x:c r="A38" s="29" t="n">
        <x:v>45</x:v>
      </x:c>
      <x:c r="B38" s="13" t="str">
        <x:v>운영</x:v>
      </x:c>
      <x:c r="C38" s="13" t="str">
        <x:v>의왕</x:v>
      </x:c>
      <x:c r="D38" s="13" t="str">
        <x:v>x86</x:v>
      </x:c>
      <x:c r="E38" s="13" t="str">
        <x:v>Linux</x:v>
      </x:c>
      <x:c r="F38" s="13" t="str">
        <x:v>IaaS</x:v>
      </x:c>
      <x:c r="G38" s="13" t="str">
        <x:v>신규</x:v>
      </x:c>
      <x:c r="H38" s="13" t="str">
        <x:v>마케팅플랫폼</x:v>
      </x:c>
      <x:c r="I38" s="13" t="str">
        <x:v>sbmpmslowb01</x:v>
      </x:c>
      <x:c r="J38" s="17" t="str">
        <x:v>미니싱글뷰 WEB #01</x:v>
      </x:c>
      <x:c r="K38" s="13" t="str">
        <x:v>WEB</x:v>
      </x:c>
      <x:c r="L38" s="72" t="n">
        <x:v>7</x:v>
      </x:c>
      <x:c r="M38" s="74" t="n">
        <x:v>8</x:v>
      </x:c>
      <x:c r="N38" s="72" t="n">
        <x:v>32</x:v>
      </x:c>
      <x:c r="O38" s="72" t="n">
        <x:v>250</x:v>
      </x:c>
      <x:c r="P38" s="72" t="n">
        <x:v>100</x:v>
      </x:c>
      <x:c r="Q38" s="13" t="str">
        <x:v>ISP</x:v>
      </x:c>
      <x:c r="R38" s="72" t="n">
        <x:v>751802</x:v>
      </x:c>
      <x:c r="S38" s="66" t="str">
        <x:v>O</x:v>
      </x:c>
      <x:c r="T38" s="30" t="str"/>
    </x:row>
    <x:row r="39">
      <x:c r="A39" s="29" t="n">
        <x:v>46</x:v>
      </x:c>
      <x:c r="B39" s="13" t="str">
        <x:v>운영</x:v>
      </x:c>
      <x:c r="C39" s="13" t="str">
        <x:v>의왕</x:v>
      </x:c>
      <x:c r="D39" s="13" t="str">
        <x:v>x86</x:v>
      </x:c>
      <x:c r="E39" s="13" t="str">
        <x:v>Linux</x:v>
      </x:c>
      <x:c r="F39" s="13" t="str">
        <x:v>IaaS</x:v>
      </x:c>
      <x:c r="G39" s="13" t="str">
        <x:v>신규</x:v>
      </x:c>
      <x:c r="H39" s="13" t="str">
        <x:v>마케팅플랫폼</x:v>
      </x:c>
      <x:c r="I39" s="13" t="str">
        <x:v>sbmpmslowb02</x:v>
      </x:c>
      <x:c r="J39" s="17" t="str">
        <x:v>미니싱글뷰 WEB #02</x:v>
      </x:c>
      <x:c r="K39" s="13" t="str">
        <x:v>WEB</x:v>
      </x:c>
      <x:c r="L39" s="72" t="n">
        <x:v>7</x:v>
      </x:c>
      <x:c r="M39" s="74" t="n">
        <x:v>8</x:v>
      </x:c>
      <x:c r="N39" s="72" t="n">
        <x:v>32</x:v>
      </x:c>
      <x:c r="O39" s="72" t="n">
        <x:v>250</x:v>
      </x:c>
      <x:c r="P39" s="72" t="n">
        <x:v>100</x:v>
      </x:c>
      <x:c r="Q39" s="13" t="str">
        <x:v>ISP</x:v>
      </x:c>
      <x:c r="R39" s="72" t="n">
        <x:v>751802</x:v>
      </x:c>
      <x:c r="S39" s="66" t="str">
        <x:v>O</x:v>
      </x:c>
      <x:c r="T39" s="30" t="str"/>
    </x:row>
    <x:row r="40">
      <x:c r="A40" s="29" t="n">
        <x:v>47</x:v>
      </x:c>
      <x:c r="B40" s="13" t="str">
        <x:v>운영</x:v>
      </x:c>
      <x:c r="C40" s="13" t="str">
        <x:v>의왕</x:v>
      </x:c>
      <x:c r="D40" s="13" t="str">
        <x:v>x86</x:v>
      </x:c>
      <x:c r="E40" s="13" t="str">
        <x:v>Linux</x:v>
      </x:c>
      <x:c r="F40" s="13" t="str">
        <x:v>IaaS</x:v>
      </x:c>
      <x:c r="G40" s="13" t="str">
        <x:v>신규</x:v>
      </x:c>
      <x:c r="H40" s="13" t="str">
        <x:v>마케팅플랫폼</x:v>
      </x:c>
      <x:c r="I40" s="13" t="str">
        <x:v>sbmpmslows01</x:v>
      </x:c>
      <x:c r="J40" s="17" t="str">
        <x:v>미니싱글뷰 WAS #01</x:v>
      </x:c>
      <x:c r="K40" s="13" t="str">
        <x:v>WAS</x:v>
      </x:c>
      <x:c r="L40" s="72" t="n">
        <x:v>42</x:v>
      </x:c>
      <x:c r="M40" s="74" t="n">
        <x:v>32</x:v>
      </x:c>
      <x:c r="N40" s="72" t="n">
        <x:v>256</x:v>
      </x:c>
      <x:c r="O40" s="72" t="n">
        <x:v>250</x:v>
      </x:c>
      <x:c r="P40" s="72" t="n">
        <x:v>110</x:v>
      </x:c>
      <x:c r="Q40" s="13" t="str">
        <x:v>ISP</x:v>
      </x:c>
      <x:c r="R40" s="72" t="n">
        <x:v>4603836</x:v>
      </x:c>
      <x:c r="S40" s="66" t="str">
        <x:v>O</x:v>
      </x:c>
      <x:c r="T40" s="30" t="str"/>
    </x:row>
    <x:row r="41">
      <x:c r="A41" s="29" t="n">
        <x:v>48</x:v>
      </x:c>
      <x:c r="B41" s="13" t="str">
        <x:v>운영</x:v>
      </x:c>
      <x:c r="C41" s="13" t="str">
        <x:v>의왕</x:v>
      </x:c>
      <x:c r="D41" s="13" t="str">
        <x:v>x86</x:v>
      </x:c>
      <x:c r="E41" s="13" t="str">
        <x:v>Linux</x:v>
      </x:c>
      <x:c r="F41" s="13" t="str">
        <x:v>IaaS</x:v>
      </x:c>
      <x:c r="G41" s="13" t="str">
        <x:v>신규</x:v>
      </x:c>
      <x:c r="H41" s="13" t="str">
        <x:v>마케팅플랫폼</x:v>
      </x:c>
      <x:c r="I41" s="13" t="str">
        <x:v>sbmpmslows02</x:v>
      </x:c>
      <x:c r="J41" s="17" t="str">
        <x:v>미니싱글뷰 WAS #02</x:v>
      </x:c>
      <x:c r="K41" s="13" t="str">
        <x:v>WAS</x:v>
      </x:c>
      <x:c r="L41" s="72" t="n">
        <x:v>42</x:v>
      </x:c>
      <x:c r="M41" s="74" t="n">
        <x:v>32</x:v>
      </x:c>
      <x:c r="N41" s="72" t="n">
        <x:v>256</x:v>
      </x:c>
      <x:c r="O41" s="72" t="n">
        <x:v>250</x:v>
      </x:c>
      <x:c r="P41" s="72" t="n">
        <x:v>110</x:v>
      </x:c>
      <x:c r="Q41" s="13" t="str">
        <x:v>ISP</x:v>
      </x:c>
      <x:c r="R41" s="72" t="n">
        <x:v>4603836</x:v>
      </x:c>
      <x:c r="S41" s="66" t="str">
        <x:v>O</x:v>
      </x:c>
      <x:c r="T41" s="30" t="str"/>
    </x:row>
    <x:row r="42">
      <x:c r="A42" s="29" t="n">
        <x:v>49</x:v>
      </x:c>
      <x:c r="B42" s="13" t="str">
        <x:v>운영</x:v>
      </x:c>
      <x:c r="C42" s="13" t="str">
        <x:v>의왕</x:v>
      </x:c>
      <x:c r="D42" s="13" t="str">
        <x:v>x86</x:v>
      </x:c>
      <x:c r="E42" s="13" t="str">
        <x:v>Linux</x:v>
      </x:c>
      <x:c r="F42" s="13" t="str">
        <x:v>IaaS</x:v>
      </x:c>
      <x:c r="G42" s="13" t="str">
        <x:v>신규</x:v>
      </x:c>
      <x:c r="H42" s="13" t="str">
        <x:v>마케팅플랫폼</x:v>
      </x:c>
      <x:c r="I42" s="13" t="str">
        <x:v>sbmpeploap01</x:v>
      </x:c>
      <x:c r="J42" s="17" t="str">
        <x:v>실시간 처리 AP #01</x:v>
      </x:c>
      <x:c r="K42" s="13" t="str">
        <x:v>AP</x:v>
      </x:c>
      <x:c r="L42" s="72" t="n">
        <x:v>32</x:v>
      </x:c>
      <x:c r="M42" s="74" t="n">
        <x:v>32</x:v>
      </x:c>
      <x:c r="N42" s="72" t="n">
        <x:v>64</x:v>
      </x:c>
      <x:c r="O42" s="72" t="n">
        <x:v>250</x:v>
      </x:c>
      <x:c r="P42" s="72" t="n">
        <x:v>200</x:v>
      </x:c>
      <x:c r="Q42" s="13" t="str">
        <x:v>솔루션 권고</x:v>
      </x:c>
      <x:c r="R42" s="72"/>
      <x:c r="S42" s="13" t="str">
        <x:v>-</x:v>
      </x:c>
      <x:c r="T42" s="30" t="str"/>
    </x:row>
    <x:row r="43">
      <x:c r="A43" s="29" t="n">
        <x:v>50</x:v>
      </x:c>
      <x:c r="B43" s="13" t="str">
        <x:v>운영</x:v>
      </x:c>
      <x:c r="C43" s="13" t="str">
        <x:v>의왕</x:v>
      </x:c>
      <x:c r="D43" s="13" t="str">
        <x:v>x86</x:v>
      </x:c>
      <x:c r="E43" s="13" t="str">
        <x:v>Linux</x:v>
      </x:c>
      <x:c r="F43" s="13" t="str">
        <x:v>IaaS</x:v>
      </x:c>
      <x:c r="G43" s="13" t="str">
        <x:v>신규</x:v>
      </x:c>
      <x:c r="H43" s="13" t="str">
        <x:v>마케팅플랫폼</x:v>
      </x:c>
      <x:c r="I43" s="13" t="str">
        <x:v>sbmpeploap02</x:v>
      </x:c>
      <x:c r="J43" s="17" t="str">
        <x:v>실시간 처리 AP #02</x:v>
      </x:c>
      <x:c r="K43" s="13" t="str">
        <x:v>AP</x:v>
      </x:c>
      <x:c r="L43" s="72" t="n">
        <x:v>32</x:v>
      </x:c>
      <x:c r="M43" s="74" t="n">
        <x:v>32</x:v>
      </x:c>
      <x:c r="N43" s="72" t="n">
        <x:v>64</x:v>
      </x:c>
      <x:c r="O43" s="72" t="n">
        <x:v>250</x:v>
      </x:c>
      <x:c r="P43" s="72" t="n">
        <x:v>200</x:v>
      </x:c>
      <x:c r="Q43" s="13" t="str">
        <x:v>솔루션 권고</x:v>
      </x:c>
      <x:c r="R43" s="72"/>
      <x:c r="S43" s="13" t="str">
        <x:v>-</x:v>
      </x:c>
      <x:c r="T43" s="30" t="str"/>
    </x:row>
    <x:row r="44">
      <x:c r="A44" s="29" t="n">
        <x:v>51</x:v>
      </x:c>
      <x:c r="B44" s="13" t="str">
        <x:v>운영</x:v>
      </x:c>
      <x:c r="C44" s="13" t="str">
        <x:v>의왕</x:v>
      </x:c>
      <x:c r="D44" s="13" t="str">
        <x:v>x86</x:v>
      </x:c>
      <x:c r="E44" s="13" t="str">
        <x:v>Linux</x:v>
      </x:c>
      <x:c r="F44" s="13" t="str">
        <x:v>IaaS</x:v>
      </x:c>
      <x:c r="G44" s="13" t="str">
        <x:v>신규</x:v>
      </x:c>
      <x:c r="H44" s="13" t="str">
        <x:v>마케팅플랫폼</x:v>
      </x:c>
      <x:c r="I44" s="13" t="str">
        <x:v>sbmppbloap01</x:v>
      </x:c>
      <x:c r="J44" s="17" t="str">
        <x:v>행동정보 처리 AP #01</x:v>
      </x:c>
      <x:c r="K44" s="13" t="str">
        <x:v>AP</x:v>
      </x:c>
      <x:c r="L44" s="72" t="n">
        <x:v>32</x:v>
      </x:c>
      <x:c r="M44" s="74" t="n">
        <x:v>32</x:v>
      </x:c>
      <x:c r="N44" s="72" t="n">
        <x:v>64</x:v>
      </x:c>
      <x:c r="O44" s="72" t="n">
        <x:v>250</x:v>
      </x:c>
      <x:c r="P44" s="72" t="n">
        <x:v>200</x:v>
      </x:c>
      <x:c r="Q44" s="13" t="str">
        <x:v>솔루션 권고</x:v>
      </x:c>
      <x:c r="R44" s="72"/>
      <x:c r="S44" s="13" t="str">
        <x:v>-</x:v>
      </x:c>
      <x:c r="T44" s="30" t="str"/>
    </x:row>
    <x:row r="45">
      <x:c r="A45" s="29" t="n">
        <x:v>52</x:v>
      </x:c>
      <x:c r="B45" s="13" t="str">
        <x:v>운영</x:v>
      </x:c>
      <x:c r="C45" s="13" t="str">
        <x:v>의왕</x:v>
      </x:c>
      <x:c r="D45" s="13" t="str">
        <x:v>x86</x:v>
      </x:c>
      <x:c r="E45" s="13" t="str">
        <x:v>Linux</x:v>
      </x:c>
      <x:c r="F45" s="13" t="str">
        <x:v>IaaS</x:v>
      </x:c>
      <x:c r="G45" s="13" t="str">
        <x:v>신규</x:v>
      </x:c>
      <x:c r="H45" s="13" t="str">
        <x:v>마케팅플랫폼</x:v>
      </x:c>
      <x:c r="I45" s="13" t="str">
        <x:v>sbmppbloap02</x:v>
      </x:c>
      <x:c r="J45" s="17" t="str">
        <x:v>행동정보 처리 AP #02</x:v>
      </x:c>
      <x:c r="K45" s="13" t="str">
        <x:v>AP</x:v>
      </x:c>
      <x:c r="L45" s="72" t="n">
        <x:v>32</x:v>
      </x:c>
      <x:c r="M45" s="74" t="n">
        <x:v>32</x:v>
      </x:c>
      <x:c r="N45" s="72" t="n">
        <x:v>64</x:v>
      </x:c>
      <x:c r="O45" s="72" t="n">
        <x:v>250</x:v>
      </x:c>
      <x:c r="P45" s="72" t="n">
        <x:v>200</x:v>
      </x:c>
      <x:c r="Q45" s="13" t="str">
        <x:v>솔루션 권고</x:v>
      </x:c>
      <x:c r="R45" s="72"/>
      <x:c r="S45" s="13" t="str">
        <x:v>-</x:v>
      </x:c>
      <x:c r="T45" s="30" t="str"/>
    </x:row>
    <x:row r="46">
      <x:c r="A46" s="29" t="n">
        <x:v>53</x:v>
      </x:c>
      <x:c r="B46" s="13" t="str">
        <x:v>운영</x:v>
      </x:c>
      <x:c r="C46" s="13" t="str">
        <x:v>의왕</x:v>
      </x:c>
      <x:c r="D46" s="13" t="str">
        <x:v>x86</x:v>
      </x:c>
      <x:c r="E46" s="13" t="str">
        <x:v>Linux</x:v>
      </x:c>
      <x:c r="F46" s="13" t="str">
        <x:v>IaaS</x:v>
      </x:c>
      <x:c r="G46" s="13" t="str">
        <x:v>신규</x:v>
      </x:c>
      <x:c r="H46" s="13" t="str">
        <x:v>마케팅플랫폼</x:v>
      </x:c>
      <x:c r="I46" s="13" t="str">
        <x:v>sbmpbdloap01</x:v>
      </x:c>
      <x:c r="J46" s="17" t="str">
        <x:v>고객 행동 데이터 AP #01</x:v>
      </x:c>
      <x:c r="K46" s="13" t="str">
        <x:v>AP</x:v>
      </x:c>
      <x:c r="L46" s="72" t="n">
        <x:v>32</x:v>
      </x:c>
      <x:c r="M46" s="74" t="n">
        <x:v>32</x:v>
      </x:c>
      <x:c r="N46" s="72" t="n">
        <x:v>64</x:v>
      </x:c>
      <x:c r="O46" s="72" t="n">
        <x:v>250</x:v>
      </x:c>
      <x:c r="P46" s="72" t="n">
        <x:v>1024</x:v>
      </x:c>
      <x:c r="Q46" s="13" t="str">
        <x:v>솔루션 권고</x:v>
      </x:c>
      <x:c r="R46" s="72"/>
      <x:c r="S46" s="13" t="str">
        <x:v>-</x:v>
      </x:c>
      <x:c r="T46" s="30" t="str"/>
    </x:row>
    <x:row r="47">
      <x:c r="A47" s="29" t="n">
        <x:v>54</x:v>
      </x:c>
      <x:c r="B47" s="13" t="str">
        <x:v>운영</x:v>
      </x:c>
      <x:c r="C47" s="13" t="str">
        <x:v>의왕</x:v>
      </x:c>
      <x:c r="D47" s="13" t="str">
        <x:v>x86</x:v>
      </x:c>
      <x:c r="E47" s="13" t="str">
        <x:v>Linux</x:v>
      </x:c>
      <x:c r="F47" s="13" t="str">
        <x:v>IaaS</x:v>
      </x:c>
      <x:c r="G47" s="13" t="str">
        <x:v>신규</x:v>
      </x:c>
      <x:c r="H47" s="13" t="str">
        <x:v>마케팅플랫폼</x:v>
      </x:c>
      <x:c r="I47" s="13" t="str">
        <x:v>sbmpbdloap02</x:v>
      </x:c>
      <x:c r="J47" s="17" t="str">
        <x:v>고객 행동 데이터 AP #02</x:v>
      </x:c>
      <x:c r="K47" s="13" t="str">
        <x:v>AP</x:v>
      </x:c>
      <x:c r="L47" s="72" t="n">
        <x:v>32</x:v>
      </x:c>
      <x:c r="M47" s="74" t="n">
        <x:v>32</x:v>
      </x:c>
      <x:c r="N47" s="72" t="n">
        <x:v>64</x:v>
      </x:c>
      <x:c r="O47" s="72" t="n">
        <x:v>250</x:v>
      </x:c>
      <x:c r="P47" s="72" t="n">
        <x:v>1024</x:v>
      </x:c>
      <x:c r="Q47" s="13" t="str">
        <x:v>솔루션 권고</x:v>
      </x:c>
      <x:c r="R47" s="72"/>
      <x:c r="S47" s="13" t="str">
        <x:v>-</x:v>
      </x:c>
      <x:c r="T47" s="30" t="str"/>
    </x:row>
    <x:row r="48">
      <x:c r="A48" s="29" t="n">
        <x:v>55</x:v>
      </x:c>
      <x:c r="B48" s="13" t="str">
        <x:v>운영</x:v>
      </x:c>
      <x:c r="C48" s="13" t="str">
        <x:v>의왕</x:v>
      </x:c>
      <x:c r="D48" s="13" t="str">
        <x:v>x86</x:v>
      </x:c>
      <x:c r="E48" s="13" t="str">
        <x:v>Linux</x:v>
      </x:c>
      <x:c r="F48" s="13" t="str">
        <x:v>IaaS</x:v>
      </x:c>
      <x:c r="G48" s="13" t="str">
        <x:v>신규</x:v>
      </x:c>
      <x:c r="H48" s="13" t="str">
        <x:v>마케팅플랫폼</x:v>
      </x:c>
      <x:c r="I48" s="13" t="str">
        <x:v>sbmpbdloap03</x:v>
      </x:c>
      <x:c r="J48" s="17" t="str">
        <x:v>고객 행동 데이터 AP #03</x:v>
      </x:c>
      <x:c r="K48" s="13" t="str">
        <x:v>AP</x:v>
      </x:c>
      <x:c r="L48" s="72" t="n">
        <x:v>32</x:v>
      </x:c>
      <x:c r="M48" s="74" t="n">
        <x:v>32</x:v>
      </x:c>
      <x:c r="N48" s="72" t="n">
        <x:v>64</x:v>
      </x:c>
      <x:c r="O48" s="72" t="n">
        <x:v>250</x:v>
      </x:c>
      <x:c r="P48" s="72" t="n">
        <x:v>1024</x:v>
      </x:c>
      <x:c r="Q48" s="13" t="str">
        <x:v>솔루션 권고</x:v>
      </x:c>
      <x:c r="R48" s="72"/>
      <x:c r="S48" s="13" t="str">
        <x:v>-</x:v>
      </x:c>
      <x:c r="T48" s="30" t="str"/>
    </x:row>
    <x:row r="49">
      <x:c r="A49" s="29" t="n">
        <x:v>56</x:v>
      </x:c>
      <x:c r="B49" s="13" t="str">
        <x:v>운영</x:v>
      </x:c>
      <x:c r="C49" s="13" t="str">
        <x:v>의왕</x:v>
      </x:c>
      <x:c r="D49" s="13" t="str">
        <x:v>x86</x:v>
      </x:c>
      <x:c r="E49" s="13" t="str">
        <x:v>Linux</x:v>
      </x:c>
      <x:c r="F49" s="13" t="str">
        <x:v>IaaS</x:v>
      </x:c>
      <x:c r="G49" s="13" t="str">
        <x:v>신규</x:v>
      </x:c>
      <x:c r="H49" s="13" t="str">
        <x:v>신BI포탈시스템</x:v>
      </x:c>
      <x:c r="I49" s="13" t="str">
        <x:v>sbbiptlowb01</x:v>
      </x:c>
      <x:c r="J49" s="17" t="str">
        <x:v>BI 포탈 WEB #01</x:v>
      </x:c>
      <x:c r="K49" s="13" t="str">
        <x:v>WEB</x:v>
      </x:c>
      <x:c r="L49" s="72" t="n">
        <x:v>4</x:v>
      </x:c>
      <x:c r="M49" s="74" t="n">
        <x:v>4</x:v>
      </x:c>
      <x:c r="N49" s="72" t="n">
        <x:v>16</x:v>
      </x:c>
      <x:c r="O49" s="72" t="n">
        <x:v>250</x:v>
      </x:c>
      <x:c r="P49" s="72" t="n">
        <x:v>100</x:v>
      </x:c>
      <x:c r="Q49" s="13" t="str">
        <x:v>ISP</x:v>
      </x:c>
      <x:c r="R49" s="72" t="n">
        <x:v>362070</x:v>
      </x:c>
      <x:c r="S49" s="13" t="str">
        <x:v>-</x:v>
      </x:c>
      <x:c r="T49" s="30" t="str"/>
    </x:row>
    <x:row r="50">
      <x:c r="A50" s="29" t="n">
        <x:v>57</x:v>
      </x:c>
      <x:c r="B50" s="13" t="str">
        <x:v>운영</x:v>
      </x:c>
      <x:c r="C50" s="13" t="str">
        <x:v>의왕</x:v>
      </x:c>
      <x:c r="D50" s="13" t="str">
        <x:v>x86</x:v>
      </x:c>
      <x:c r="E50" s="13" t="str">
        <x:v>Linux</x:v>
      </x:c>
      <x:c r="F50" s="13" t="str">
        <x:v>IaaS</x:v>
      </x:c>
      <x:c r="G50" s="13" t="str">
        <x:v>신규</x:v>
      </x:c>
      <x:c r="H50" s="13" t="str">
        <x:v>신BI포탈시스템</x:v>
      </x:c>
      <x:c r="I50" s="13" t="str">
        <x:v>sbbiptlowb02</x:v>
      </x:c>
      <x:c r="J50" s="17" t="str">
        <x:v>BI 포탈 WEB #02</x:v>
      </x:c>
      <x:c r="K50" s="13" t="str">
        <x:v>WEB</x:v>
      </x:c>
      <x:c r="L50" s="72" t="n">
        <x:v>4</x:v>
      </x:c>
      <x:c r="M50" s="74" t="n">
        <x:v>4</x:v>
      </x:c>
      <x:c r="N50" s="72" t="n">
        <x:v>16</x:v>
      </x:c>
      <x:c r="O50" s="72" t="n">
        <x:v>250</x:v>
      </x:c>
      <x:c r="P50" s="72" t="n">
        <x:v>100</x:v>
      </x:c>
      <x:c r="Q50" s="13" t="str">
        <x:v>ISP</x:v>
      </x:c>
      <x:c r="R50" s="72" t="n">
        <x:v>362070</x:v>
      </x:c>
      <x:c r="S50" s="13" t="str">
        <x:v>-</x:v>
      </x:c>
      <x:c r="T50" s="30" t="str"/>
    </x:row>
    <x:row r="51">
      <x:c r="A51" s="29" t="n">
        <x:v>58</x:v>
      </x:c>
      <x:c r="B51" s="13" t="str">
        <x:v>운영</x:v>
      </x:c>
      <x:c r="C51" s="13" t="str">
        <x:v>의왕</x:v>
      </x:c>
      <x:c r="D51" s="13" t="str">
        <x:v>x86</x:v>
      </x:c>
      <x:c r="E51" s="13" t="str">
        <x:v>Linux</x:v>
      </x:c>
      <x:c r="F51" s="13" t="str">
        <x:v>IaaS</x:v>
      </x:c>
      <x:c r="G51" s="13" t="str">
        <x:v>신규</x:v>
      </x:c>
      <x:c r="H51" s="13" t="str">
        <x:v>신BI포탈시스템</x:v>
      </x:c>
      <x:c r="I51" s="13" t="str">
        <x:v>sbbiptlows01</x:v>
      </x:c>
      <x:c r="J51" s="17" t="str">
        <x:v>BI 포탈 WAS #01</x:v>
      </x:c>
      <x:c r="K51" s="13" t="str">
        <x:v>WAS</x:v>
      </x:c>
      <x:c r="L51" s="72" t="n">
        <x:v>7</x:v>
      </x:c>
      <x:c r="M51" s="74" t="n">
        <x:v>8</x:v>
      </x:c>
      <x:c r="N51" s="72" t="n">
        <x:v>64</x:v>
      </x:c>
      <x:c r="O51" s="72" t="n">
        <x:v>250</x:v>
      </x:c>
      <x:c r="P51" s="72" t="n">
        <x:v>110</x:v>
      </x:c>
      <x:c r="Q51" s="13" t="str">
        <x:v>ISP</x:v>
      </x:c>
      <x:c r="R51" s="72" t="n">
        <x:v>706045</x:v>
      </x:c>
      <x:c r="S51" s="13" t="str">
        <x:v>-</x:v>
      </x:c>
      <x:c r="T51" s="30" t="str"/>
    </x:row>
    <x:row r="52">
      <x:c r="A52" s="29" t="n">
        <x:v>59</x:v>
      </x:c>
      <x:c r="B52" s="13" t="str">
        <x:v>운영</x:v>
      </x:c>
      <x:c r="C52" s="13" t="str">
        <x:v>의왕</x:v>
      </x:c>
      <x:c r="D52" s="13" t="str">
        <x:v>x86</x:v>
      </x:c>
      <x:c r="E52" s="13" t="str">
        <x:v>Linux</x:v>
      </x:c>
      <x:c r="F52" s="13" t="str">
        <x:v>IaaS</x:v>
      </x:c>
      <x:c r="G52" s="13" t="str">
        <x:v>신규</x:v>
      </x:c>
      <x:c r="H52" s="13" t="str">
        <x:v>신BI포탈시스템</x:v>
      </x:c>
      <x:c r="I52" s="13" t="str">
        <x:v>sbbiptlows02</x:v>
      </x:c>
      <x:c r="J52" s="17" t="str">
        <x:v>BI 포탈 WAS #02</x:v>
      </x:c>
      <x:c r="K52" s="13" t="str">
        <x:v>WAS</x:v>
      </x:c>
      <x:c r="L52" s="72" t="n">
        <x:v>7</x:v>
      </x:c>
      <x:c r="M52" s="74" t="n">
        <x:v>8</x:v>
      </x:c>
      <x:c r="N52" s="72" t="n">
        <x:v>64</x:v>
      </x:c>
      <x:c r="O52" s="72" t="n">
        <x:v>250</x:v>
      </x:c>
      <x:c r="P52" s="72" t="n">
        <x:v>110</x:v>
      </x:c>
      <x:c r="Q52" s="13" t="str">
        <x:v>ISP</x:v>
      </x:c>
      <x:c r="R52" s="72" t="n">
        <x:v>706045</x:v>
      </x:c>
      <x:c r="S52" s="13" t="str">
        <x:v>-</x:v>
      </x:c>
      <x:c r="T52" s="30" t="str"/>
    </x:row>
    <x:row r="53">
      <x:c r="A53" s="29" t="n">
        <x:v>60</x:v>
      </x:c>
      <x:c r="B53" s="13" t="str">
        <x:v>운영</x:v>
      </x:c>
      <x:c r="C53" s="13" t="str">
        <x:v>의왕</x:v>
      </x:c>
      <x:c r="D53" s="13" t="str">
        <x:v>x86</x:v>
      </x:c>
      <x:c r="E53" s="13" t="str">
        <x:v>Linux</x:v>
      </x:c>
      <x:c r="F53" s="13" t="str">
        <x:v>IaaS</x:v>
      </x:c>
      <x:c r="G53" s="13" t="str">
        <x:v>신규</x:v>
      </x:c>
      <x:c r="H53" s="13" t="str">
        <x:v>신BI포탈시스템</x:v>
      </x:c>
      <x:c r="I53" s="13" t="str">
        <x:v>sbbicrlowb01</x:v>
      </x:c>
      <x:c r="J53" s="17" t="str">
        <x:v>신용 실적 WEB #01</x:v>
      </x:c>
      <x:c r="K53" s="13" t="str">
        <x:v>WEB</x:v>
      </x:c>
      <x:c r="L53" s="72" t="n">
        <x:v>2</x:v>
      </x:c>
      <x:c r="M53" s="74" t="n">
        <x:v>2</x:v>
      </x:c>
      <x:c r="N53" s="72" t="n">
        <x:v>8</x:v>
      </x:c>
      <x:c r="O53" s="72" t="n">
        <x:v>250</x:v>
      </x:c>
      <x:c r="P53" s="72" t="n">
        <x:v>100</x:v>
      </x:c>
      <x:c r="Q53" s="13" t="str">
        <x:v>ISP</x:v>
      </x:c>
      <x:c r="R53" s="72" t="n">
        <x:v>143730</x:v>
      </x:c>
      <x:c r="S53" s="13" t="str">
        <x:v>-</x:v>
      </x:c>
      <x:c r="T53" s="30" t="str"/>
    </x:row>
    <x:row r="54">
      <x:c r="A54" s="29" t="n">
        <x:v>61</x:v>
      </x:c>
      <x:c r="B54" s="13" t="str">
        <x:v>운영</x:v>
      </x:c>
      <x:c r="C54" s="13" t="str">
        <x:v>의왕</x:v>
      </x:c>
      <x:c r="D54" s="13" t="str">
        <x:v>x86</x:v>
      </x:c>
      <x:c r="E54" s="13" t="str">
        <x:v>Linux</x:v>
      </x:c>
      <x:c r="F54" s="13" t="str">
        <x:v>IaaS</x:v>
      </x:c>
      <x:c r="G54" s="13" t="str">
        <x:v>신규</x:v>
      </x:c>
      <x:c r="H54" s="13" t="str">
        <x:v>신BI포탈시스템</x:v>
      </x:c>
      <x:c r="I54" s="13" t="str">
        <x:v>sbbicrlowb02</x:v>
      </x:c>
      <x:c r="J54" s="17" t="str">
        <x:v>신용 실적 WEB #02</x:v>
      </x:c>
      <x:c r="K54" s="13" t="str">
        <x:v>WEB</x:v>
      </x:c>
      <x:c r="L54" s="72" t="n">
        <x:v>2</x:v>
      </x:c>
      <x:c r="M54" s="74" t="n">
        <x:v>2</x:v>
      </x:c>
      <x:c r="N54" s="72" t="n">
        <x:v>8</x:v>
      </x:c>
      <x:c r="O54" s="72" t="n">
        <x:v>250</x:v>
      </x:c>
      <x:c r="P54" s="72" t="n">
        <x:v>100</x:v>
      </x:c>
      <x:c r="Q54" s="13" t="str">
        <x:v>ISP</x:v>
      </x:c>
      <x:c r="R54" s="72" t="n">
        <x:v>143730</x:v>
      </x:c>
      <x:c r="S54" s="13" t="str">
        <x:v>-</x:v>
      </x:c>
      <x:c r="T54" s="30" t="str"/>
    </x:row>
    <x:row r="55">
      <x:c r="A55" s="29" t="n">
        <x:v>62</x:v>
      </x:c>
      <x:c r="B55" s="13" t="str">
        <x:v>운영</x:v>
      </x:c>
      <x:c r="C55" s="13" t="str">
        <x:v>의왕</x:v>
      </x:c>
      <x:c r="D55" s="13" t="str">
        <x:v>x86</x:v>
      </x:c>
      <x:c r="E55" s="13" t="str">
        <x:v>Linux</x:v>
      </x:c>
      <x:c r="F55" s="13" t="str">
        <x:v>IaaS</x:v>
      </x:c>
      <x:c r="G55" s="13" t="str">
        <x:v>신규</x:v>
      </x:c>
      <x:c r="H55" s="13" t="str">
        <x:v>신BI포탈시스템</x:v>
      </x:c>
      <x:c r="I55" s="13" t="str">
        <x:v>sbbicrlows01</x:v>
      </x:c>
      <x:c r="J55" s="17" t="str">
        <x:v>신용 실적 WAS #01</x:v>
      </x:c>
      <x:c r="K55" s="13" t="str">
        <x:v>WAS</x:v>
      </x:c>
      <x:c r="L55" s="72" t="n">
        <x:v>6</x:v>
      </x:c>
      <x:c r="M55" s="74" t="n">
        <x:v>6</x:v>
      </x:c>
      <x:c r="N55" s="72" t="n">
        <x:v>48</x:v>
      </x:c>
      <x:c r="O55" s="72" t="n">
        <x:v>250</x:v>
      </x:c>
      <x:c r="P55" s="72" t="n">
        <x:v>110</x:v>
      </x:c>
      <x:c r="Q55" s="13" t="str">
        <x:v>ISP</x:v>
      </x:c>
      <x:c r="R55" s="72" t="n">
        <x:v>587235</x:v>
      </x:c>
      <x:c r="S55" s="13" t="str">
        <x:v>-</x:v>
      </x:c>
      <x:c r="T55" s="30" t="str"/>
    </x:row>
    <x:row r="56">
      <x:c r="A56" s="29" t="n">
        <x:v>63</x:v>
      </x:c>
      <x:c r="B56" s="13" t="str">
        <x:v>운영</x:v>
      </x:c>
      <x:c r="C56" s="13" t="str">
        <x:v>의왕</x:v>
      </x:c>
      <x:c r="D56" s="13" t="str">
        <x:v>x86</x:v>
      </x:c>
      <x:c r="E56" s="13" t="str">
        <x:v>Linux</x:v>
      </x:c>
      <x:c r="F56" s="13" t="str">
        <x:v>IaaS</x:v>
      </x:c>
      <x:c r="G56" s="13" t="str">
        <x:v>신규</x:v>
      </x:c>
      <x:c r="H56" s="13" t="str">
        <x:v>신BI포탈시스템</x:v>
      </x:c>
      <x:c r="I56" s="13" t="str">
        <x:v>sbbicrlows02</x:v>
      </x:c>
      <x:c r="J56" s="17" t="str">
        <x:v>신용 실적 WAS #02</x:v>
      </x:c>
      <x:c r="K56" s="13" t="str">
        <x:v>WAS</x:v>
      </x:c>
      <x:c r="L56" s="72" t="n">
        <x:v>6</x:v>
      </x:c>
      <x:c r="M56" s="74" t="n">
        <x:v>6</x:v>
      </x:c>
      <x:c r="N56" s="72" t="n">
        <x:v>48</x:v>
      </x:c>
      <x:c r="O56" s="72" t="n">
        <x:v>250</x:v>
      </x:c>
      <x:c r="P56" s="72" t="n">
        <x:v>110</x:v>
      </x:c>
      <x:c r="Q56" s="13" t="str">
        <x:v>ISP</x:v>
      </x:c>
      <x:c r="R56" s="72" t="n">
        <x:v>587235</x:v>
      </x:c>
      <x:c r="S56" s="13" t="str">
        <x:v>-</x:v>
      </x:c>
      <x:c r="T56" s="30" t="str"/>
    </x:row>
    <x:row r="57">
      <x:c r="A57" s="48" t="n">
        <x:v>64</x:v>
      </x:c>
      <x:c r="B57" s="49" t="str">
        <x:v>운영</x:v>
      </x:c>
      <x:c r="C57" s="49" t="str">
        <x:v>의왕</x:v>
      </x:c>
      <x:c r="D57" s="49" t="str">
        <x:v>x86</x:v>
      </x:c>
      <x:c r="E57" s="49" t="str">
        <x:v>Linux</x:v>
      </x:c>
      <x:c r="F57" s="49" t="str">
        <x:v>IaaS</x:v>
      </x:c>
      <x:c r="G57" s="49" t="str">
        <x:v>삭제</x:v>
      </x:c>
      <x:c r="H57" s="49" t="str">
        <x:v>신BI포탈시스템</x:v>
      </x:c>
      <x:c r="I57" s="49" t="str">
        <x:v>sbbioalows01</x:v>
      </x:c>
      <x:c r="J57" s="49" t="str">
        <x:v>OLAP WEB/WAS #01</x:v>
      </x:c>
      <x:c r="K57" s="49" t="str">
        <x:v>WAS</x:v>
      </x:c>
      <x:c r="L57" s="73" t="n">
        <x:v>9</x:v>
      </x:c>
      <x:c r="M57" s="73"/>
      <x:c r="N57" s="73" t="n">
        <x:v>0</x:v>
      </x:c>
      <x:c r="O57" s="73" t="n">
        <x:v>250</x:v>
      </x:c>
      <x:c r="P57" s="73" t="n">
        <x:v>170</x:v>
      </x:c>
      <x:c r="Q57" s="49" t="str">
        <x:v>ISP</x:v>
      </x:c>
      <x:c r="R57" s="73" t="n">
        <x:v>892140</x:v>
      </x:c>
      <x:c r="S57" s="49" t="str">
        <x:v>-</x:v>
      </x:c>
      <x:c r="T57" s="50" t="str">
        <x:v>기존 OLAP 서버 유지</x:v>
      </x:c>
    </x:row>
    <x:row r="58">
      <x:c r="A58" s="48" t="n">
        <x:v>65</x:v>
      </x:c>
      <x:c r="B58" s="49" t="str">
        <x:v>운영</x:v>
      </x:c>
      <x:c r="C58" s="49" t="str">
        <x:v>의왕</x:v>
      </x:c>
      <x:c r="D58" s="49" t="str">
        <x:v>x86</x:v>
      </x:c>
      <x:c r="E58" s="49" t="str">
        <x:v>Linux</x:v>
      </x:c>
      <x:c r="F58" s="49" t="str">
        <x:v>IaaS</x:v>
      </x:c>
      <x:c r="G58" s="49" t="str">
        <x:v>삭제</x:v>
      </x:c>
      <x:c r="H58" s="49" t="str">
        <x:v>신BI포탈시스템</x:v>
      </x:c>
      <x:c r="I58" s="49" t="str">
        <x:v>sbbioalows02</x:v>
      </x:c>
      <x:c r="J58" s="49" t="str">
        <x:v>OLAP WEB/WAS #02</x:v>
      </x:c>
      <x:c r="K58" s="49" t="str">
        <x:v>WAS</x:v>
      </x:c>
      <x:c r="L58" s="73" t="n">
        <x:v>9</x:v>
      </x:c>
      <x:c r="M58" s="73"/>
      <x:c r="N58" s="73" t="n">
        <x:v>0</x:v>
      </x:c>
      <x:c r="O58" s="73" t="n">
        <x:v>250</x:v>
      </x:c>
      <x:c r="P58" s="73" t="n">
        <x:v>170</x:v>
      </x:c>
      <x:c r="Q58" s="49" t="str">
        <x:v>ISP</x:v>
      </x:c>
      <x:c r="R58" s="73" t="n">
        <x:v>892140</x:v>
      </x:c>
      <x:c r="S58" s="49" t="str">
        <x:v>-</x:v>
      </x:c>
      <x:c r="T58" s="50" t="str">
        <x:v>기존 OLAP 서버 유지</x:v>
      </x:c>
    </x:row>
    <x:row r="59">
      <x:c r="A59" s="48" t="n">
        <x:v>66</x:v>
      </x:c>
      <x:c r="B59" s="49" t="str">
        <x:v>운영</x:v>
      </x:c>
      <x:c r="C59" s="49" t="str">
        <x:v>의왕</x:v>
      </x:c>
      <x:c r="D59" s="49" t="str">
        <x:v>x86</x:v>
      </x:c>
      <x:c r="E59" s="49" t="str">
        <x:v>Linux</x:v>
      </x:c>
      <x:c r="F59" s="49" t="str">
        <x:v>IaaS</x:v>
      </x:c>
      <x:c r="G59" s="49" t="str">
        <x:v>삭제</x:v>
      </x:c>
      <x:c r="H59" s="49" t="str">
        <x:v>신BI포탈시스템</x:v>
      </x:c>
      <x:c r="I59" s="49" t="str">
        <x:v>sbbioaloap01</x:v>
      </x:c>
      <x:c r="J59" s="49" t="str">
        <x:v>OLAP AP #01</x:v>
      </x:c>
      <x:c r="K59" s="49" t="str">
        <x:v>AP</x:v>
      </x:c>
      <x:c r="L59" s="73" t="n">
        <x:v>27</x:v>
      </x:c>
      <x:c r="M59" s="73"/>
      <x:c r="N59" s="73" t="n">
        <x:v>0</x:v>
      </x:c>
      <x:c r="O59" s="73" t="n">
        <x:v>250</x:v>
      </x:c>
      <x:c r="P59" s="73"/>
      <x:c r="Q59" s="49" t="str">
        <x:v>ISP</x:v>
      </x:c>
      <x:c r="R59" s="73" t="n">
        <x:v>2932029</x:v>
      </x:c>
      <x:c r="S59" s="49" t="str">
        <x:v>-</x:v>
      </x:c>
      <x:c r="T59" s="50" t="str">
        <x:v>기존 OLAP 서버 유지</x:v>
      </x:c>
    </x:row>
    <x:row r="60">
      <x:c r="A60" s="48" t="n">
        <x:v>67</x:v>
      </x:c>
      <x:c r="B60" s="49" t="str">
        <x:v>운영</x:v>
      </x:c>
      <x:c r="C60" s="49" t="str">
        <x:v>의왕</x:v>
      </x:c>
      <x:c r="D60" s="49" t="str">
        <x:v>x86</x:v>
      </x:c>
      <x:c r="E60" s="49" t="str">
        <x:v>Linux</x:v>
      </x:c>
      <x:c r="F60" s="49" t="str">
        <x:v>IaaS</x:v>
      </x:c>
      <x:c r="G60" s="49" t="str">
        <x:v>삭제</x:v>
      </x:c>
      <x:c r="H60" s="49" t="str">
        <x:v>신BI포탈시스템</x:v>
      </x:c>
      <x:c r="I60" s="49" t="str">
        <x:v>sbbioaloap02</x:v>
      </x:c>
      <x:c r="J60" s="49" t="str">
        <x:v>OLAP AP #02</x:v>
      </x:c>
      <x:c r="K60" s="49" t="str">
        <x:v>AP</x:v>
      </x:c>
      <x:c r="L60" s="73" t="n">
        <x:v>27</x:v>
      </x:c>
      <x:c r="M60" s="73"/>
      <x:c r="N60" s="73" t="n">
        <x:v>0</x:v>
      </x:c>
      <x:c r="O60" s="73" t="n">
        <x:v>250</x:v>
      </x:c>
      <x:c r="P60" s="73"/>
      <x:c r="Q60" s="49" t="str">
        <x:v>ISP</x:v>
      </x:c>
      <x:c r="R60" s="73" t="n">
        <x:v>2932029</x:v>
      </x:c>
      <x:c r="S60" s="49" t="str">
        <x:v>-</x:v>
      </x:c>
      <x:c r="T60" s="50" t="str">
        <x:v>기존 OLAP 서버 유지</x:v>
      </x:c>
    </x:row>
    <x:row r="61">
      <x:c r="A61" s="29" t="n">
        <x:v>68</x:v>
      </x:c>
      <x:c r="B61" s="13" t="str">
        <x:v>운영</x:v>
      </x:c>
      <x:c r="C61" s="13" t="str">
        <x:v>의왕</x:v>
      </x:c>
      <x:c r="D61" s="13" t="str">
        <x:v>x86</x:v>
      </x:c>
      <x:c r="E61" s="13" t="str">
        <x:v>Linux</x:v>
      </x:c>
      <x:c r="F61" s="13" t="str">
        <x:v>IaaS</x:v>
      </x:c>
      <x:c r="G61" s="13" t="str">
        <x:v>신규</x:v>
      </x:c>
      <x:c r="H61" s="13" t="str">
        <x:v>신BI포탈시스템</x:v>
      </x:c>
      <x:c r="I61" s="13" t="str">
        <x:v>sbbisblowb01</x:v>
      </x:c>
      <x:c r="J61" s="17" t="str">
        <x:v>Self-BI WEB #01</x:v>
      </x:c>
      <x:c r="K61" s="13" t="str">
        <x:v>WEB</x:v>
      </x:c>
      <x:c r="L61" s="72" t="n">
        <x:v>4</x:v>
      </x:c>
      <x:c r="M61" s="74" t="n">
        <x:v>4</x:v>
      </x:c>
      <x:c r="N61" s="72" t="n">
        <x:v>16</x:v>
      </x:c>
      <x:c r="O61" s="72" t="n">
        <x:v>250</x:v>
      </x:c>
      <x:c r="P61" s="72" t="n">
        <x:v>100</x:v>
      </x:c>
      <x:c r="Q61" s="13" t="str">
        <x:v>솔루션 권고</x:v>
      </x:c>
      <x:c r="R61" s="72"/>
      <x:c r="S61" s="13" t="str">
        <x:v>-</x:v>
      </x:c>
      <x:c r="T61" s="30" t="str"/>
    </x:row>
    <x:row r="62">
      <x:c r="A62" s="29" t="n">
        <x:v>69</x:v>
      </x:c>
      <x:c r="B62" s="13" t="str">
        <x:v>운영</x:v>
      </x:c>
      <x:c r="C62" s="13" t="str">
        <x:v>의왕</x:v>
      </x:c>
      <x:c r="D62" s="13" t="str">
        <x:v>x86</x:v>
      </x:c>
      <x:c r="E62" s="13" t="str">
        <x:v>Linux</x:v>
      </x:c>
      <x:c r="F62" s="13" t="str">
        <x:v>IaaS</x:v>
      </x:c>
      <x:c r="G62" s="13" t="str">
        <x:v>신규</x:v>
      </x:c>
      <x:c r="H62" s="13" t="str">
        <x:v>신BI포탈시스템</x:v>
      </x:c>
      <x:c r="I62" s="13" t="str">
        <x:v>sbbisblowb02</x:v>
      </x:c>
      <x:c r="J62" s="17" t="str">
        <x:v>Self-BI WEB #02</x:v>
      </x:c>
      <x:c r="K62" s="13" t="str">
        <x:v>WEB</x:v>
      </x:c>
      <x:c r="L62" s="72" t="n">
        <x:v>4</x:v>
      </x:c>
      <x:c r="M62" s="74" t="n">
        <x:v>4</x:v>
      </x:c>
      <x:c r="N62" s="72" t="n">
        <x:v>16</x:v>
      </x:c>
      <x:c r="O62" s="72" t="n">
        <x:v>250</x:v>
      </x:c>
      <x:c r="P62" s="72" t="n">
        <x:v>100</x:v>
      </x:c>
      <x:c r="Q62" s="13" t="str">
        <x:v>솔루션 권고</x:v>
      </x:c>
      <x:c r="R62" s="72"/>
      <x:c r="S62" s="13" t="str">
        <x:v>-</x:v>
      </x:c>
      <x:c r="T62" s="30" t="str"/>
    </x:row>
    <x:row r="63">
      <x:c r="A63" s="29" t="n">
        <x:v>70</x:v>
      </x:c>
      <x:c r="B63" s="13" t="str">
        <x:v>운영</x:v>
      </x:c>
      <x:c r="C63" s="13" t="str">
        <x:v>의왕</x:v>
      </x:c>
      <x:c r="D63" s="13" t="str">
        <x:v>x86</x:v>
      </x:c>
      <x:c r="E63" s="13" t="str">
        <x:v>Linux</x:v>
      </x:c>
      <x:c r="F63" s="13" t="str">
        <x:v>IaaS</x:v>
      </x:c>
      <x:c r="G63" s="13" t="str">
        <x:v>신규</x:v>
      </x:c>
      <x:c r="H63" s="13" t="str">
        <x:v>신BI포탈시스템</x:v>
      </x:c>
      <x:c r="I63" s="13" t="str">
        <x:v>sbbisblows01</x:v>
      </x:c>
      <x:c r="J63" s="17" t="str">
        <x:v>Self-BI WAS #01</x:v>
      </x:c>
      <x:c r="K63" s="13" t="str">
        <x:v>WAS</x:v>
      </x:c>
      <x:c r="L63" s="72" t="n">
        <x:v>16</x:v>
      </x:c>
      <x:c r="M63" s="74" t="n">
        <x:v>16</x:v>
      </x:c>
      <x:c r="N63" s="72" t="n">
        <x:v>256</x:v>
      </x:c>
      <x:c r="O63" s="72" t="n">
        <x:v>250</x:v>
      </x:c>
      <x:c r="P63" s="72" t="n">
        <x:v>1024</x:v>
      </x:c>
      <x:c r="Q63" s="13" t="str">
        <x:v>솔루션 권고</x:v>
      </x:c>
      <x:c r="R63" s="72"/>
      <x:c r="S63" s="13" t="str">
        <x:v>-</x:v>
      </x:c>
      <x:c r="T63" s="30" t="str"/>
    </x:row>
    <x:row r="64">
      <x:c r="A64" s="29" t="n">
        <x:v>71</x:v>
      </x:c>
      <x:c r="B64" s="13" t="str">
        <x:v>운영</x:v>
      </x:c>
      <x:c r="C64" s="13" t="str">
        <x:v>의왕</x:v>
      </x:c>
      <x:c r="D64" s="13" t="str">
        <x:v>x86</x:v>
      </x:c>
      <x:c r="E64" s="13" t="str">
        <x:v>Linux</x:v>
      </x:c>
      <x:c r="F64" s="13" t="str">
        <x:v>IaaS</x:v>
      </x:c>
      <x:c r="G64" s="13" t="str">
        <x:v>신규</x:v>
      </x:c>
      <x:c r="H64" s="13" t="str">
        <x:v>신BI포탈시스템</x:v>
      </x:c>
      <x:c r="I64" s="13" t="str">
        <x:v>sbbisblows02</x:v>
      </x:c>
      <x:c r="J64" s="17" t="str">
        <x:v>Self-BI WAS #02</x:v>
      </x:c>
      <x:c r="K64" s="13" t="str">
        <x:v>WAS</x:v>
      </x:c>
      <x:c r="L64" s="72" t="n">
        <x:v>16</x:v>
      </x:c>
      <x:c r="M64" s="74" t="n">
        <x:v>16</x:v>
      </x:c>
      <x:c r="N64" s="72" t="n">
        <x:v>256</x:v>
      </x:c>
      <x:c r="O64" s="72" t="n">
        <x:v>250</x:v>
      </x:c>
      <x:c r="P64" s="72"/>
      <x:c r="Q64" s="13" t="str">
        <x:v>솔루션 권고</x:v>
      </x:c>
      <x:c r="R64" s="72"/>
      <x:c r="S64" s="13" t="str">
        <x:v>-</x:v>
      </x:c>
      <x:c r="T64" s="30" t="str">
        <x:v>AUD</x:v>
      </x:c>
    </x:row>
    <x:row r="65">
      <x:c r="A65" s="29" t="n">
        <x:v>72</x:v>
      </x:c>
      <x:c r="B65" s="13" t="str">
        <x:v>운영</x:v>
      </x:c>
      <x:c r="C65" s="13" t="str">
        <x:v>의왕</x:v>
      </x:c>
      <x:c r="D65" s="13" t="str">
        <x:v>x86</x:v>
      </x:c>
      <x:c r="E65" s="13" t="str">
        <x:v>Linux</x:v>
      </x:c>
      <x:c r="F65" s="13" t="str">
        <x:v>IaaS</x:v>
      </x:c>
      <x:c r="G65" s="13" t="str">
        <x:v>신규</x:v>
      </x:c>
      <x:c r="H65" s="13" t="str">
        <x:v>신BI포탈시스템</x:v>
      </x:c>
      <x:c r="I65" s="13" t="str">
        <x:v>sbbisbloap01</x:v>
      </x:c>
      <x:c r="J65" s="17" t="str">
        <x:v>Self-BI AP #01</x:v>
      </x:c>
      <x:c r="K65" s="13" t="str">
        <x:v>AP</x:v>
      </x:c>
      <x:c r="L65" s="72" t="n">
        <x:v>64</x:v>
      </x:c>
      <x:c r="M65" s="74" t="n">
        <x:v>32</x:v>
      </x:c>
      <x:c r="N65" s="72" t="n">
        <x:v>512</x:v>
      </x:c>
      <x:c r="O65" s="72" t="n">
        <x:v>250</x:v>
      </x:c>
      <x:c r="P65" s="72" t="n">
        <x:v>1024</x:v>
      </x:c>
      <x:c r="Q65" s="13" t="str">
        <x:v>솔루션 권고</x:v>
      </x:c>
      <x:c r="R65" s="72"/>
      <x:c r="S65" s="13" t="str">
        <x:v>-</x:v>
      </x:c>
      <x:c r="T65" s="30" t="str">
        <x:v>TRINITY</x:v>
      </x:c>
    </x:row>
    <x:row r="66">
      <x:c r="A66" s="29" t="n">
        <x:v>73</x:v>
      </x:c>
      <x:c r="B66" s="13" t="str">
        <x:v>운영</x:v>
      </x:c>
      <x:c r="C66" s="13" t="str">
        <x:v>의왕</x:v>
      </x:c>
      <x:c r="D66" s="13" t="str">
        <x:v>x86</x:v>
      </x:c>
      <x:c r="E66" s="13" t="str">
        <x:v>Linux</x:v>
      </x:c>
      <x:c r="F66" s="13" t="str">
        <x:v>IaaS</x:v>
      </x:c>
      <x:c r="G66" s="13" t="str">
        <x:v>신규</x:v>
      </x:c>
      <x:c r="H66" s="13" t="str">
        <x:v>데이터거버넌스</x:v>
      </x:c>
      <x:c r="I66" s="13" t="str">
        <x:v>sbdgdqlows01</x:v>
      </x:c>
      <x:c r="J66" s="17" t="str">
        <x:v>비즈메타/데이터품질 WAS #01</x:v>
      </x:c>
      <x:c r="K66" s="13" t="str">
        <x:v>WAS</x:v>
      </x:c>
      <x:c r="L66" s="72" t="n">
        <x:v>16</x:v>
      </x:c>
      <x:c r="M66" s="74" t="n">
        <x:v>16</x:v>
      </x:c>
      <x:c r="N66" s="72" t="n">
        <x:v>64</x:v>
      </x:c>
      <x:c r="O66" s="72" t="n">
        <x:v>250</x:v>
      </x:c>
      <x:c r="P66" s="72" t="n">
        <x:v>1024</x:v>
      </x:c>
      <x:c r="Q66" s="13" t="str">
        <x:v>솔루션 권고</x:v>
      </x:c>
      <x:c r="R66" s="72"/>
      <x:c r="S66" s="13" t="str">
        <x:v>-</x:v>
      </x:c>
      <x:c r="T66" s="30" t="str"/>
    </x:row>
    <x:row r="67">
      <x:c r="A67" s="29" t="n">
        <x:v>74</x:v>
      </x:c>
      <x:c r="B67" s="13" t="str">
        <x:v>운영</x:v>
      </x:c>
      <x:c r="C67" s="13" t="str">
        <x:v>의왕</x:v>
      </x:c>
      <x:c r="D67" s="13" t="str">
        <x:v>x86</x:v>
      </x:c>
      <x:c r="E67" s="13" t="str">
        <x:v>Linux</x:v>
      </x:c>
      <x:c r="F67" s="13" t="str">
        <x:v>IaaS</x:v>
      </x:c>
      <x:c r="G67" s="13" t="str">
        <x:v>신규</x:v>
      </x:c>
      <x:c r="H67" s="13" t="str">
        <x:v>데이터거버넌스</x:v>
      </x:c>
      <x:c r="I67" s="13" t="str">
        <x:v>sbdgdqlows02</x:v>
      </x:c>
      <x:c r="J67" s="17" t="str">
        <x:v>비즈메타/데이터품질 WAS #02</x:v>
      </x:c>
      <x:c r="K67" s="13" t="str">
        <x:v>WAS</x:v>
      </x:c>
      <x:c r="L67" s="72" t="n">
        <x:v>16</x:v>
      </x:c>
      <x:c r="M67" s="74" t="n">
        <x:v>16</x:v>
      </x:c>
      <x:c r="N67" s="72" t="n">
        <x:v>64</x:v>
      </x:c>
      <x:c r="O67" s="72" t="n">
        <x:v>250</x:v>
      </x:c>
      <x:c r="P67" s="72" t="n">
        <x:v>1024</x:v>
      </x:c>
      <x:c r="Q67" s="13" t="str">
        <x:v>솔루션 권고</x:v>
      </x:c>
      <x:c r="R67" s="72"/>
      <x:c r="S67" s="13" t="str">
        <x:v>-</x:v>
      </x:c>
      <x:c r="T67" s="30" t="str"/>
    </x:row>
    <x:row r="68">
      <x:c r="A68" s="29" t="n">
        <x:v>75</x:v>
      </x:c>
      <x:c r="B68" s="13" t="str">
        <x:v>운영</x:v>
      </x:c>
      <x:c r="C68" s="13" t="str">
        <x:v>의왕</x:v>
      </x:c>
      <x:c r="D68" s="13" t="str">
        <x:v>x86</x:v>
      </x:c>
      <x:c r="E68" s="13" t="str">
        <x:v>Linux</x:v>
      </x:c>
      <x:c r="F68" s="13" t="str">
        <x:v>IaaS</x:v>
      </x:c>
      <x:c r="G68" s="13" t="str">
        <x:v>신규</x:v>
      </x:c>
      <x:c r="H68" s="13" t="str">
        <x:v>데이터거버넌스</x:v>
      </x:c>
      <x:c r="I68" s="13" t="str">
        <x:v>sbdgdllows01</x:v>
      </x:c>
      <x:c r="J68" s="17" t="str">
        <x:v>데이터흐름 WAS #01</x:v>
      </x:c>
      <x:c r="K68" s="13" t="str">
        <x:v>WAS</x:v>
      </x:c>
      <x:c r="L68" s="72" t="n">
        <x:v>16</x:v>
      </x:c>
      <x:c r="M68" s="74" t="n">
        <x:v>16</x:v>
      </x:c>
      <x:c r="N68" s="72" t="n">
        <x:v>256</x:v>
      </x:c>
      <x:c r="O68" s="72" t="n">
        <x:v>250</x:v>
      </x:c>
      <x:c r="P68" s="72" t="n">
        <x:v>1536</x:v>
      </x:c>
      <x:c r="Q68" s="13" t="str">
        <x:v>솔루션 권고</x:v>
      </x:c>
      <x:c r="R68" s="72"/>
      <x:c r="S68" s="13" t="str">
        <x:v>-</x:v>
      </x:c>
      <x:c r="T68" s="30" t="str"/>
    </x:row>
    <x:row r="69">
      <x:c r="A69" s="58" t="n">
        <x:v>76</x:v>
      </x:c>
      <x:c r="B69" s="59" t="str">
        <x:v>운영</x:v>
      </x:c>
      <x:c r="C69" s="59" t="str">
        <x:v>의왕</x:v>
      </x:c>
      <x:c r="D69" s="59" t="str">
        <x:v>x86</x:v>
      </x:c>
      <x:c r="E69" s="59" t="str">
        <x:v>Linux</x:v>
      </x:c>
      <x:c r="F69" s="59" t="str">
        <x:v>IaaS</x:v>
      </x:c>
      <x:c r="G69" s="59" t="str">
        <x:v>삭제검토</x:v>
      </x:c>
      <x:c r="H69" s="59" t="str">
        <x:v>데이터거버넌스</x:v>
      </x:c>
      <x:c r="I69" s="59" t="str">
        <x:v>sbdgdllows02</x:v>
      </x:c>
      <x:c r="J69" s="59" t="str">
        <x:v>데이터흐름 WAS #02</x:v>
      </x:c>
      <x:c r="K69" s="59" t="str">
        <x:v>WAS</x:v>
      </x:c>
      <x:c r="L69" s="75" t="n">
        <x:v>16</x:v>
      </x:c>
      <x:c r="M69" s="75" t="n">
        <x:v>16</x:v>
      </x:c>
      <x:c r="N69" s="75" t="n">
        <x:v>256</x:v>
      </x:c>
      <x:c r="O69" s="75" t="n">
        <x:v>250</x:v>
      </x:c>
      <x:c r="P69" s="75"/>
      <x:c r="Q69" s="59" t="str">
        <x:v>솔루션 권고</x:v>
      </x:c>
      <x:c r="R69" s="75"/>
      <x:c r="S69" s="59" t="str">
        <x:v>-</x:v>
      </x:c>
      <x:c r="T69" s="60" t="str">
        <x:v>데이터흐름은 이중화 요건 없음</x:v>
      </x:c>
    </x:row>
    <x:row r="70">
      <x:c r="A70" s="29" t="n">
        <x:v>77</x:v>
      </x:c>
      <x:c r="B70" s="13" t="str">
        <x:v>운영</x:v>
      </x:c>
      <x:c r="C70" s="13" t="str">
        <x:v>의왕</x:v>
      </x:c>
      <x:c r="D70" s="13" t="str">
        <x:v>x86</x:v>
      </x:c>
      <x:c r="E70" s="13" t="str">
        <x:v>Linux</x:v>
      </x:c>
      <x:c r="F70" s="13" t="str">
        <x:v>IaaS</x:v>
      </x:c>
      <x:c r="G70" s="13" t="str">
        <x:v>신규</x:v>
      </x:c>
      <x:c r="H70" s="13" t="str">
        <x:v>IT 서비스 및 업무지원</x:v>
      </x:c>
      <x:c r="I70" s="13" t="str">
        <x:v>sbimxmlowb01</x:v>
      </x:c>
      <x:c r="J70" s="17" t="str">
        <x:v>단말관리 WEB #01</x:v>
      </x:c>
      <x:c r="K70" s="13" t="str">
        <x:v>WEB</x:v>
      </x:c>
      <x:c r="L70" s="72"/>
      <x:c r="M70" s="74" t="n">
        <x:v>4</x:v>
      </x:c>
      <x:c r="N70" s="72" t="n">
        <x:v>16</x:v>
      </x:c>
      <x:c r="O70" s="72" t="n">
        <x:v>250</x:v>
      </x:c>
      <x:c r="P70" s="72" t="n">
        <x:v>100</x:v>
      </x:c>
      <x:c r="Q70" s="13" t="str">
        <x:v>솔루션 권고</x:v>
      </x:c>
      <x:c r="R70" s="72"/>
      <x:c r="S70" s="66" t="str">
        <x:v>O</x:v>
      </x:c>
      <x:c r="T70" s="30" t="str"/>
    </x:row>
    <x:row r="71">
      <x:c r="A71" s="29" t="n">
        <x:v>78</x:v>
      </x:c>
      <x:c r="B71" s="13" t="str">
        <x:v>운영</x:v>
      </x:c>
      <x:c r="C71" s="13" t="str">
        <x:v>의왕</x:v>
      </x:c>
      <x:c r="D71" s="13" t="str">
        <x:v>x86</x:v>
      </x:c>
      <x:c r="E71" s="13" t="str">
        <x:v>Linux</x:v>
      </x:c>
      <x:c r="F71" s="13" t="str">
        <x:v>IaaS</x:v>
      </x:c>
      <x:c r="G71" s="13" t="str">
        <x:v>신규</x:v>
      </x:c>
      <x:c r="H71" s="13" t="str">
        <x:v>IT 서비스 및 업무지원</x:v>
      </x:c>
      <x:c r="I71" s="13" t="str">
        <x:v>sbimxmlowb02</x:v>
      </x:c>
      <x:c r="J71" s="17" t="str">
        <x:v>단말관리 WEB #02</x:v>
      </x:c>
      <x:c r="K71" s="13" t="str">
        <x:v>WEB</x:v>
      </x:c>
      <x:c r="L71" s="72"/>
      <x:c r="M71" s="74" t="n">
        <x:v>4</x:v>
      </x:c>
      <x:c r="N71" s="72" t="n">
        <x:v>16</x:v>
      </x:c>
      <x:c r="O71" s="72" t="n">
        <x:v>250</x:v>
      </x:c>
      <x:c r="P71" s="72" t="n">
        <x:v>100</x:v>
      </x:c>
      <x:c r="Q71" s="13" t="str">
        <x:v>솔루션 권고</x:v>
      </x:c>
      <x:c r="R71" s="72"/>
      <x:c r="S71" s="66" t="str">
        <x:v>O</x:v>
      </x:c>
      <x:c r="T71" s="30" t="str"/>
    </x:row>
    <x:row r="72">
      <x:c r="A72" s="29" t="n">
        <x:v>79</x:v>
      </x:c>
      <x:c r="B72" s="13" t="str">
        <x:v>운영</x:v>
      </x:c>
      <x:c r="C72" s="13" t="str">
        <x:v>의왕</x:v>
      </x:c>
      <x:c r="D72" s="13" t="str">
        <x:v>x86</x:v>
      </x:c>
      <x:c r="E72" s="13" t="str">
        <x:v>Linux</x:v>
      </x:c>
      <x:c r="F72" s="13" t="str">
        <x:v>IaaS</x:v>
      </x:c>
      <x:c r="G72" s="13" t="str">
        <x:v>신규</x:v>
      </x:c>
      <x:c r="H72" s="13" t="str">
        <x:v>IT 서비스 및 업무지원</x:v>
      </x:c>
      <x:c r="I72" s="13" t="str">
        <x:v>sbimxmlowb03</x:v>
      </x:c>
      <x:c r="J72" s="17" t="str">
        <x:v>단말관리 WEB #03</x:v>
      </x:c>
      <x:c r="K72" s="13" t="str">
        <x:v>WEB</x:v>
      </x:c>
      <x:c r="L72" s="72"/>
      <x:c r="M72" s="74" t="n">
        <x:v>4</x:v>
      </x:c>
      <x:c r="N72" s="72" t="n">
        <x:v>16</x:v>
      </x:c>
      <x:c r="O72" s="72" t="n">
        <x:v>250</x:v>
      </x:c>
      <x:c r="P72" s="72" t="n">
        <x:v>100</x:v>
      </x:c>
      <x:c r="Q72" s="13" t="str">
        <x:v>솔루션 권고</x:v>
      </x:c>
      <x:c r="R72" s="72"/>
      <x:c r="S72" s="66" t="str">
        <x:v>O</x:v>
      </x:c>
      <x:c r="T72" s="30" t="str"/>
    </x:row>
    <x:row r="73">
      <x:c r="A73" s="29" t="n">
        <x:v>80</x:v>
      </x:c>
      <x:c r="B73" s="13" t="str">
        <x:v>운영</x:v>
      </x:c>
      <x:c r="C73" s="13" t="str">
        <x:v>의왕</x:v>
      </x:c>
      <x:c r="D73" s="13" t="str">
        <x:v>x86</x:v>
      </x:c>
      <x:c r="E73" s="13" t="str">
        <x:v>Linux</x:v>
      </x:c>
      <x:c r="F73" s="13" t="str">
        <x:v>IaaS</x:v>
      </x:c>
      <x:c r="G73" s="13" t="str">
        <x:v>신규</x:v>
      </x:c>
      <x:c r="H73" s="13" t="str">
        <x:v>IT 서비스 및 업무지원</x:v>
      </x:c>
      <x:c r="I73" s="13" t="str">
        <x:v>sbimxmlowb04</x:v>
      </x:c>
      <x:c r="J73" s="17" t="str">
        <x:v>단말관리 WEB #04</x:v>
      </x:c>
      <x:c r="K73" s="13" t="str">
        <x:v>WEB</x:v>
      </x:c>
      <x:c r="L73" s="72"/>
      <x:c r="M73" s="74" t="n">
        <x:v>4</x:v>
      </x:c>
      <x:c r="N73" s="72" t="n">
        <x:v>16</x:v>
      </x:c>
      <x:c r="O73" s="72" t="n">
        <x:v>250</x:v>
      </x:c>
      <x:c r="P73" s="72" t="n">
        <x:v>100</x:v>
      </x:c>
      <x:c r="Q73" s="13" t="str">
        <x:v>솔루션 권고</x:v>
      </x:c>
      <x:c r="R73" s="72"/>
      <x:c r="S73" s="66" t="str">
        <x:v>O</x:v>
      </x:c>
      <x:c r="T73" s="30" t="str"/>
    </x:row>
    <x:row r="74">
      <x:c r="A74" s="29" t="n">
        <x:v>81</x:v>
      </x:c>
      <x:c r="B74" s="13" t="str">
        <x:v>운영</x:v>
      </x:c>
      <x:c r="C74" s="13" t="str">
        <x:v>의왕</x:v>
      </x:c>
      <x:c r="D74" s="13" t="str">
        <x:v>x86</x:v>
      </x:c>
      <x:c r="E74" s="13" t="str">
        <x:v>Linux</x:v>
      </x:c>
      <x:c r="F74" s="13" t="str">
        <x:v>IaaS</x:v>
      </x:c>
      <x:c r="G74" s="13" t="str">
        <x:v>신규</x:v>
      </x:c>
      <x:c r="H74" s="13" t="str">
        <x:v>IT 서비스 및 업무지원</x:v>
      </x:c>
      <x:c r="I74" s="13" t="str">
        <x:v>sbimxmlows01</x:v>
      </x:c>
      <x:c r="J74" s="17" t="str">
        <x:v>단말관리 WAS #01</x:v>
      </x:c>
      <x:c r="K74" s="13" t="str">
        <x:v>WAS</x:v>
      </x:c>
      <x:c r="L74" s="72"/>
      <x:c r="M74" s="74" t="n">
        <x:v>8</x:v>
      </x:c>
      <x:c r="N74" s="72" t="n">
        <x:v>64</x:v>
      </x:c>
      <x:c r="O74" s="72" t="n">
        <x:v>250</x:v>
      </x:c>
      <x:c r="P74" s="72" t="n">
        <x:v>110</x:v>
      </x:c>
      <x:c r="Q74" s="13" t="str">
        <x:v>솔루션 권고</x:v>
      </x:c>
      <x:c r="R74" s="72"/>
      <x:c r="S74" s="66" t="str">
        <x:v>O</x:v>
      </x:c>
      <x:c r="T74" s="30" t="str"/>
    </x:row>
    <x:row r="75">
      <x:c r="A75" s="29" t="n">
        <x:v>82</x:v>
      </x:c>
      <x:c r="B75" s="13" t="str">
        <x:v>운영</x:v>
      </x:c>
      <x:c r="C75" s="13" t="str">
        <x:v>의왕</x:v>
      </x:c>
      <x:c r="D75" s="13" t="str">
        <x:v>x86</x:v>
      </x:c>
      <x:c r="E75" s="13" t="str">
        <x:v>Linux</x:v>
      </x:c>
      <x:c r="F75" s="13" t="str">
        <x:v>IaaS</x:v>
      </x:c>
      <x:c r="G75" s="13" t="str">
        <x:v>신규</x:v>
      </x:c>
      <x:c r="H75" s="13" t="str">
        <x:v>IT 서비스 및 업무지원</x:v>
      </x:c>
      <x:c r="I75" s="13" t="str">
        <x:v>sbimxmlows02</x:v>
      </x:c>
      <x:c r="J75" s="17" t="str">
        <x:v>단말관리 WAS #02</x:v>
      </x:c>
      <x:c r="K75" s="13" t="str">
        <x:v>WAS</x:v>
      </x:c>
      <x:c r="L75" s="72"/>
      <x:c r="M75" s="74" t="n">
        <x:v>8</x:v>
      </x:c>
      <x:c r="N75" s="72" t="n">
        <x:v>64</x:v>
      </x:c>
      <x:c r="O75" s="72" t="n">
        <x:v>250</x:v>
      </x:c>
      <x:c r="P75" s="72" t="n">
        <x:v>110</x:v>
      </x:c>
      <x:c r="Q75" s="13" t="str">
        <x:v>솔루션 권고</x:v>
      </x:c>
      <x:c r="R75" s="72"/>
      <x:c r="S75" s="66" t="str">
        <x:v>O</x:v>
      </x:c>
      <x:c r="T75" s="30" t="str"/>
    </x:row>
    <x:row r="76">
      <x:c r="A76" s="29" t="n">
        <x:v>83</x:v>
      </x:c>
      <x:c r="B76" s="13" t="str">
        <x:v>운영</x:v>
      </x:c>
      <x:c r="C76" s="13" t="str">
        <x:v>의왕</x:v>
      </x:c>
      <x:c r="D76" s="13" t="str">
        <x:v>x86</x:v>
      </x:c>
      <x:c r="E76" s="13" t="str">
        <x:v>Linux</x:v>
      </x:c>
      <x:c r="F76" s="13" t="str">
        <x:v>IaaS</x:v>
      </x:c>
      <x:c r="G76" s="13" t="str">
        <x:v>신규</x:v>
      </x:c>
      <x:c r="H76" s="13" t="str">
        <x:v>IT 서비스 및 업무지원</x:v>
      </x:c>
      <x:c r="I76" s="13" t="str">
        <x:v>sbimxmlows03</x:v>
      </x:c>
      <x:c r="J76" s="17" t="str">
        <x:v>단말관리 WAS #03</x:v>
      </x:c>
      <x:c r="K76" s="13" t="str">
        <x:v>WAS</x:v>
      </x:c>
      <x:c r="L76" s="72"/>
      <x:c r="M76" s="74" t="n">
        <x:v>8</x:v>
      </x:c>
      <x:c r="N76" s="72" t="n">
        <x:v>64</x:v>
      </x:c>
      <x:c r="O76" s="72" t="n">
        <x:v>250</x:v>
      </x:c>
      <x:c r="P76" s="72" t="n">
        <x:v>110</x:v>
      </x:c>
      <x:c r="Q76" s="13" t="str">
        <x:v>솔루션 권고</x:v>
      </x:c>
      <x:c r="R76" s="72"/>
      <x:c r="S76" s="66" t="str">
        <x:v>O</x:v>
      </x:c>
      <x:c r="T76" s="30" t="str"/>
    </x:row>
    <x:row r="77">
      <x:c r="A77" s="29" t="n">
        <x:v>84</x:v>
      </x:c>
      <x:c r="B77" s="13" t="str">
        <x:v>운영</x:v>
      </x:c>
      <x:c r="C77" s="13" t="str">
        <x:v>의왕</x:v>
      </x:c>
      <x:c r="D77" s="13" t="str">
        <x:v>x86</x:v>
      </x:c>
      <x:c r="E77" s="13" t="str">
        <x:v>Linux</x:v>
      </x:c>
      <x:c r="F77" s="13" t="str">
        <x:v>IaaS</x:v>
      </x:c>
      <x:c r="G77" s="13" t="str">
        <x:v>신규</x:v>
      </x:c>
      <x:c r="H77" s="13" t="str">
        <x:v>IT 서비스 및 업무지원</x:v>
      </x:c>
      <x:c r="I77" s="13" t="str">
        <x:v>sbimxmlows04</x:v>
      </x:c>
      <x:c r="J77" s="17" t="str">
        <x:v>단말관리 WAS #04</x:v>
      </x:c>
      <x:c r="K77" s="13" t="str">
        <x:v>WAS</x:v>
      </x:c>
      <x:c r="L77" s="72"/>
      <x:c r="M77" s="74" t="n">
        <x:v>8</x:v>
      </x:c>
      <x:c r="N77" s="72" t="n">
        <x:v>64</x:v>
      </x:c>
      <x:c r="O77" s="72" t="n">
        <x:v>250</x:v>
      </x:c>
      <x:c r="P77" s="72" t="n">
        <x:v>110</x:v>
      </x:c>
      <x:c r="Q77" s="13" t="str">
        <x:v>솔루션 권고</x:v>
      </x:c>
      <x:c r="R77" s="72"/>
      <x:c r="S77" s="66" t="str">
        <x:v>O</x:v>
      </x:c>
      <x:c r="T77" s="30" t="str"/>
    </x:row>
    <x:row r="78">
      <x:c r="A78" s="29" t="n">
        <x:v>85</x:v>
      </x:c>
      <x:c r="B78" s="13" t="str">
        <x:v>운영</x:v>
      </x:c>
      <x:c r="C78" s="13" t="str">
        <x:v>의왕</x:v>
      </x:c>
      <x:c r="D78" s="13" t="str">
        <x:v>x86</x:v>
      </x:c>
      <x:c r="E78" s="13" t="str">
        <x:v>Linux</x:v>
      </x:c>
      <x:c r="F78" s="13" t="str">
        <x:v>IaaS</x:v>
      </x:c>
      <x:c r="G78" s="13" t="str">
        <x:v>신규</x:v>
      </x:c>
      <x:c r="H78" s="13" t="str">
        <x:v>IT 서비스 및 업무지원</x:v>
      </x:c>
      <x:c r="I78" s="13" t="str">
        <x:v>sbimxdlowb01</x:v>
      </x:c>
      <x:c r="J78" s="17" t="str">
        <x:v>단말배포 WEB #01</x:v>
      </x:c>
      <x:c r="K78" s="13" t="str">
        <x:v>WEB</x:v>
      </x:c>
      <x:c r="L78" s="72"/>
      <x:c r="M78" s="74" t="n">
        <x:v>4</x:v>
      </x:c>
      <x:c r="N78" s="72" t="n">
        <x:v>8</x:v>
      </x:c>
      <x:c r="O78" s="72" t="n">
        <x:v>250</x:v>
      </x:c>
      <x:c r="P78" s="72" t="n">
        <x:v>100</x:v>
      </x:c>
      <x:c r="Q78" s="13" t="str">
        <x:v>솔루션 권고 * 서버당 7,000 사용자 기준</x:v>
      </x:c>
      <x:c r="R78" s="72"/>
      <x:c r="S78" s="66" t="str">
        <x:v>O</x:v>
      </x:c>
      <x:c r="T78" s="30" t="str"/>
    </x:row>
    <x:row r="79">
      <x:c r="A79" s="29" t="n">
        <x:v>86</x:v>
      </x:c>
      <x:c r="B79" s="13" t="str">
        <x:v>운영</x:v>
      </x:c>
      <x:c r="C79" s="13" t="str">
        <x:v>의왕</x:v>
      </x:c>
      <x:c r="D79" s="13" t="str">
        <x:v>x86</x:v>
      </x:c>
      <x:c r="E79" s="13" t="str">
        <x:v>Linux</x:v>
      </x:c>
      <x:c r="F79" s="13" t="str">
        <x:v>IaaS</x:v>
      </x:c>
      <x:c r="G79" s="13" t="str">
        <x:v>신규</x:v>
      </x:c>
      <x:c r="H79" s="13" t="str">
        <x:v>IT 서비스 및 업무지원</x:v>
      </x:c>
      <x:c r="I79" s="13" t="str">
        <x:v>sbimxdlowb02</x:v>
      </x:c>
      <x:c r="J79" s="17" t="str">
        <x:v>단말배포 WEB #02</x:v>
      </x:c>
      <x:c r="K79" s="13" t="str">
        <x:v>WEB</x:v>
      </x:c>
      <x:c r="L79" s="72"/>
      <x:c r="M79" s="74" t="n">
        <x:v>4</x:v>
      </x:c>
      <x:c r="N79" s="72" t="n">
        <x:v>8</x:v>
      </x:c>
      <x:c r="O79" s="72" t="n">
        <x:v>250</x:v>
      </x:c>
      <x:c r="P79" s="72" t="n">
        <x:v>100</x:v>
      </x:c>
      <x:c r="Q79" s="13" t="str">
        <x:v>솔루션 권고 * 서버당 7,000 사용자 기준</x:v>
      </x:c>
      <x:c r="R79" s="72"/>
      <x:c r="S79" s="66" t="str">
        <x:v>O</x:v>
      </x:c>
      <x:c r="T79" s="30" t="str"/>
    </x:row>
    <x:row r="80">
      <x:c r="A80" s="29" t="n">
        <x:v>87</x:v>
      </x:c>
      <x:c r="B80" s="13" t="str">
        <x:v>운영</x:v>
      </x:c>
      <x:c r="C80" s="13" t="str">
        <x:v>의왕</x:v>
      </x:c>
      <x:c r="D80" s="13" t="str">
        <x:v>x86</x:v>
      </x:c>
      <x:c r="E80" s="13" t="str">
        <x:v>Linux</x:v>
      </x:c>
      <x:c r="F80" s="13" t="str">
        <x:v>IaaS</x:v>
      </x:c>
      <x:c r="G80" s="13" t="str">
        <x:v>신규</x:v>
      </x:c>
      <x:c r="H80" s="13" t="str">
        <x:v>IT 서비스 및 업무지원</x:v>
      </x:c>
      <x:c r="I80" s="13" t="str">
        <x:v>sbimxdlowb03</x:v>
      </x:c>
      <x:c r="J80" s="17" t="str">
        <x:v>단말배포 WEB #03</x:v>
      </x:c>
      <x:c r="K80" s="13" t="str">
        <x:v>WEB</x:v>
      </x:c>
      <x:c r="L80" s="72"/>
      <x:c r="M80" s="74" t="n">
        <x:v>4</x:v>
      </x:c>
      <x:c r="N80" s="72" t="n">
        <x:v>8</x:v>
      </x:c>
      <x:c r="O80" s="72" t="n">
        <x:v>250</x:v>
      </x:c>
      <x:c r="P80" s="72" t="n">
        <x:v>100</x:v>
      </x:c>
      <x:c r="Q80" s="13" t="str">
        <x:v>솔루션 권고 * 서버당 7,000 사용자 기준</x:v>
      </x:c>
      <x:c r="R80" s="72"/>
      <x:c r="S80" s="66" t="str">
        <x:v>O</x:v>
      </x:c>
      <x:c r="T80" s="30" t="str"/>
    </x:row>
    <x:row r="81">
      <x:c r="A81" s="29" t="n">
        <x:v>88</x:v>
      </x:c>
      <x:c r="B81" s="13" t="str">
        <x:v>운영</x:v>
      </x:c>
      <x:c r="C81" s="13" t="str">
        <x:v>의왕</x:v>
      </x:c>
      <x:c r="D81" s="13" t="str">
        <x:v>x86</x:v>
      </x:c>
      <x:c r="E81" s="13" t="str">
        <x:v>Linux</x:v>
      </x:c>
      <x:c r="F81" s="13" t="str">
        <x:v>IaaS</x:v>
      </x:c>
      <x:c r="G81" s="13" t="str">
        <x:v>신규</x:v>
      </x:c>
      <x:c r="H81" s="13" t="str">
        <x:v>IT 서비스 및 업무지원</x:v>
      </x:c>
      <x:c r="I81" s="13" t="str">
        <x:v>sbimxdlowb04</x:v>
      </x:c>
      <x:c r="J81" s="17" t="str">
        <x:v>단말배포 WEB #04</x:v>
      </x:c>
      <x:c r="K81" s="13" t="str">
        <x:v>WEB</x:v>
      </x:c>
      <x:c r="L81" s="72"/>
      <x:c r="M81" s="74" t="n">
        <x:v>4</x:v>
      </x:c>
      <x:c r="N81" s="72" t="n">
        <x:v>8</x:v>
      </x:c>
      <x:c r="O81" s="72" t="n">
        <x:v>250</x:v>
      </x:c>
      <x:c r="P81" s="72" t="n">
        <x:v>100</x:v>
      </x:c>
      <x:c r="Q81" s="13" t="str">
        <x:v>솔루션 권고 * 서버당 7,000 사용자 기준</x:v>
      </x:c>
      <x:c r="R81" s="72"/>
      <x:c r="S81" s="66" t="str">
        <x:v>O</x:v>
      </x:c>
      <x:c r="T81" s="30" t="str"/>
    </x:row>
    <x:row r="82">
      <x:c r="A82" s="29" t="n">
        <x:v>89</x:v>
      </x:c>
      <x:c r="B82" s="13" t="str">
        <x:v>운영</x:v>
      </x:c>
      <x:c r="C82" s="13" t="str">
        <x:v>의왕</x:v>
      </x:c>
      <x:c r="D82" s="13" t="str">
        <x:v>x86</x:v>
      </x:c>
      <x:c r="E82" s="13" t="str">
        <x:v>Linux</x:v>
      </x:c>
      <x:c r="F82" s="13" t="str">
        <x:v>IaaS</x:v>
      </x:c>
      <x:c r="G82" s="13" t="str">
        <x:v>신규</x:v>
      </x:c>
      <x:c r="H82" s="13" t="str">
        <x:v>IT 서비스 및 업무지원</x:v>
      </x:c>
      <x:c r="I82" s="13" t="str">
        <x:v>sbimxdlowb05</x:v>
      </x:c>
      <x:c r="J82" s="17" t="str">
        <x:v>단말배포 WEB #05</x:v>
      </x:c>
      <x:c r="K82" s="13" t="str">
        <x:v>WEB</x:v>
      </x:c>
      <x:c r="L82" s="72"/>
      <x:c r="M82" s="74" t="n">
        <x:v>4</x:v>
      </x:c>
      <x:c r="N82" s="72" t="n">
        <x:v>8</x:v>
      </x:c>
      <x:c r="O82" s="72" t="n">
        <x:v>250</x:v>
      </x:c>
      <x:c r="P82" s="72" t="n">
        <x:v>100</x:v>
      </x:c>
      <x:c r="Q82" s="13" t="str">
        <x:v>솔루션 권고 * 서버당 7,000 사용자 기준</x:v>
      </x:c>
      <x:c r="R82" s="72"/>
      <x:c r="S82" s="66" t="str">
        <x:v>O</x:v>
      </x:c>
      <x:c r="T82" s="30" t="str"/>
    </x:row>
    <x:row r="83">
      <x:c r="A83" s="29" t="n">
        <x:v>90</x:v>
      </x:c>
      <x:c r="B83" s="13" t="str">
        <x:v>운영</x:v>
      </x:c>
      <x:c r="C83" s="13" t="str">
        <x:v>의왕</x:v>
      </x:c>
      <x:c r="D83" s="13" t="str">
        <x:v>x86</x:v>
      </x:c>
      <x:c r="E83" s="13" t="str">
        <x:v>Linux</x:v>
      </x:c>
      <x:c r="F83" s="13" t="str">
        <x:v>IaaS</x:v>
      </x:c>
      <x:c r="G83" s="13" t="str">
        <x:v>신규</x:v>
      </x:c>
      <x:c r="H83" s="13" t="str">
        <x:v>IT 서비스 및 업무지원</x:v>
      </x:c>
      <x:c r="I83" s="13" t="str">
        <x:v>sbimxdlowb06</x:v>
      </x:c>
      <x:c r="J83" s="17" t="str">
        <x:v>단말배포 WEB #06</x:v>
      </x:c>
      <x:c r="K83" s="13" t="str">
        <x:v>WEB</x:v>
      </x:c>
      <x:c r="L83" s="72"/>
      <x:c r="M83" s="74" t="n">
        <x:v>4</x:v>
      </x:c>
      <x:c r="N83" s="72" t="n">
        <x:v>8</x:v>
      </x:c>
      <x:c r="O83" s="72" t="n">
        <x:v>250</x:v>
      </x:c>
      <x:c r="P83" s="72" t="n">
        <x:v>100</x:v>
      </x:c>
      <x:c r="Q83" s="13" t="str">
        <x:v>솔루션 권고 * 서버당 7,000 사용자 기준</x:v>
      </x:c>
      <x:c r="R83" s="72"/>
      <x:c r="S83" s="66" t="str">
        <x:v>O</x:v>
      </x:c>
      <x:c r="T83" s="30" t="str"/>
    </x:row>
    <x:row r="84">
      <x:c r="A84" s="29" t="n">
        <x:v>91</x:v>
      </x:c>
      <x:c r="B84" s="13" t="str">
        <x:v>운영</x:v>
      </x:c>
      <x:c r="C84" s="13" t="str">
        <x:v>의왕</x:v>
      </x:c>
      <x:c r="D84" s="13" t="str">
        <x:v>x86</x:v>
      </x:c>
      <x:c r="E84" s="13" t="str">
        <x:v>Linux</x:v>
      </x:c>
      <x:c r="F84" s="13" t="str">
        <x:v>IaaS</x:v>
      </x:c>
      <x:c r="G84" s="13" t="str">
        <x:v>신규</x:v>
      </x:c>
      <x:c r="H84" s="13" t="str">
        <x:v>IT 서비스 및 업무지원</x:v>
      </x:c>
      <x:c r="I84" s="13" t="str">
        <x:v>sbimxdlows01</x:v>
      </x:c>
      <x:c r="J84" s="17" t="str">
        <x:v>단말배포 WAS #01</x:v>
      </x:c>
      <x:c r="K84" s="13" t="str">
        <x:v>WAS</x:v>
      </x:c>
      <x:c r="L84" s="72"/>
      <x:c r="M84" s="74" t="n">
        <x:v>4</x:v>
      </x:c>
      <x:c r="N84" s="72" t="n">
        <x:v>8</x:v>
      </x:c>
      <x:c r="O84" s="72" t="n">
        <x:v>250</x:v>
      </x:c>
      <x:c r="P84" s="72" t="n">
        <x:v>110</x:v>
      </x:c>
      <x:c r="Q84" s="13" t="str">
        <x:v>솔루션 권고 * 서버당 7,000 사용자 기준</x:v>
      </x:c>
      <x:c r="R84" s="72"/>
      <x:c r="S84" s="66" t="str">
        <x:v>O</x:v>
      </x:c>
      <x:c r="T84" s="30" t="str"/>
    </x:row>
    <x:row r="85">
      <x:c r="A85" s="29" t="n">
        <x:v>92</x:v>
      </x:c>
      <x:c r="B85" s="13" t="str">
        <x:v>운영</x:v>
      </x:c>
      <x:c r="C85" s="13" t="str">
        <x:v>의왕</x:v>
      </x:c>
      <x:c r="D85" s="13" t="str">
        <x:v>x86</x:v>
      </x:c>
      <x:c r="E85" s="13" t="str">
        <x:v>Linux</x:v>
      </x:c>
      <x:c r="F85" s="13" t="str">
        <x:v>IaaS</x:v>
      </x:c>
      <x:c r="G85" s="13" t="str">
        <x:v>신규</x:v>
      </x:c>
      <x:c r="H85" s="13" t="str">
        <x:v>IT 서비스 및 업무지원</x:v>
      </x:c>
      <x:c r="I85" s="13" t="str">
        <x:v>sbimxdlows02</x:v>
      </x:c>
      <x:c r="J85" s="17" t="str">
        <x:v>단말배포 WAS #02</x:v>
      </x:c>
      <x:c r="K85" s="13" t="str">
        <x:v>WAS</x:v>
      </x:c>
      <x:c r="L85" s="72"/>
      <x:c r="M85" s="74" t="n">
        <x:v>4</x:v>
      </x:c>
      <x:c r="N85" s="72" t="n">
        <x:v>8</x:v>
      </x:c>
      <x:c r="O85" s="72" t="n">
        <x:v>250</x:v>
      </x:c>
      <x:c r="P85" s="72" t="n">
        <x:v>110</x:v>
      </x:c>
      <x:c r="Q85" s="13" t="str">
        <x:v>솔루션 권고 * 서버당 7,000 사용자 기준</x:v>
      </x:c>
      <x:c r="R85" s="72"/>
      <x:c r="S85" s="66" t="str">
        <x:v>O</x:v>
      </x:c>
      <x:c r="T85" s="30" t="str"/>
    </x:row>
    <x:row r="86">
      <x:c r="A86" s="29" t="n">
        <x:v>93</x:v>
      </x:c>
      <x:c r="B86" s="13" t="str">
        <x:v>운영</x:v>
      </x:c>
      <x:c r="C86" s="13" t="str">
        <x:v>의왕</x:v>
      </x:c>
      <x:c r="D86" s="13" t="str">
        <x:v>x86</x:v>
      </x:c>
      <x:c r="E86" s="13" t="str">
        <x:v>Linux</x:v>
      </x:c>
      <x:c r="F86" s="13" t="str">
        <x:v>IaaS</x:v>
      </x:c>
      <x:c r="G86" s="13" t="str">
        <x:v>신규</x:v>
      </x:c>
      <x:c r="H86" s="13" t="str">
        <x:v>IT 서비스 및 업무지원</x:v>
      </x:c>
      <x:c r="I86" s="13" t="str">
        <x:v>sbimxdlows03</x:v>
      </x:c>
      <x:c r="J86" s="17" t="str">
        <x:v>단말배포 WAS #03</x:v>
      </x:c>
      <x:c r="K86" s="13" t="str">
        <x:v>WAS</x:v>
      </x:c>
      <x:c r="L86" s="72"/>
      <x:c r="M86" s="74" t="n">
        <x:v>4</x:v>
      </x:c>
      <x:c r="N86" s="72" t="n">
        <x:v>8</x:v>
      </x:c>
      <x:c r="O86" s="72" t="n">
        <x:v>250</x:v>
      </x:c>
      <x:c r="P86" s="72" t="n">
        <x:v>110</x:v>
      </x:c>
      <x:c r="Q86" s="13" t="str">
        <x:v>솔루션 권고 * 서버당 7,000 사용자 기준</x:v>
      </x:c>
      <x:c r="R86" s="72"/>
      <x:c r="S86" s="66" t="str">
        <x:v>O</x:v>
      </x:c>
      <x:c r="T86" s="30" t="str"/>
    </x:row>
    <x:row r="87">
      <x:c r="A87" s="29" t="n">
        <x:v>94</x:v>
      </x:c>
      <x:c r="B87" s="13" t="str">
        <x:v>운영</x:v>
      </x:c>
      <x:c r="C87" s="13" t="str">
        <x:v>의왕</x:v>
      </x:c>
      <x:c r="D87" s="13" t="str">
        <x:v>x86</x:v>
      </x:c>
      <x:c r="E87" s="13" t="str">
        <x:v>Linux</x:v>
      </x:c>
      <x:c r="F87" s="13" t="str">
        <x:v>IaaS</x:v>
      </x:c>
      <x:c r="G87" s="13" t="str">
        <x:v>신규</x:v>
      </x:c>
      <x:c r="H87" s="13" t="str">
        <x:v>IT 서비스 및 업무지원</x:v>
      </x:c>
      <x:c r="I87" s="13" t="str">
        <x:v>sbimxdlows04</x:v>
      </x:c>
      <x:c r="J87" s="17" t="str">
        <x:v>단말배포 WAS #04</x:v>
      </x:c>
      <x:c r="K87" s="13" t="str">
        <x:v>WAS</x:v>
      </x:c>
      <x:c r="L87" s="72"/>
      <x:c r="M87" s="74" t="n">
        <x:v>4</x:v>
      </x:c>
      <x:c r="N87" s="72" t="n">
        <x:v>8</x:v>
      </x:c>
      <x:c r="O87" s="72" t="n">
        <x:v>250</x:v>
      </x:c>
      <x:c r="P87" s="72" t="n">
        <x:v>110</x:v>
      </x:c>
      <x:c r="Q87" s="13" t="str">
        <x:v>솔루션 권고 * 서버당 7,000 사용자 기준</x:v>
      </x:c>
      <x:c r="R87" s="72"/>
      <x:c r="S87" s="66" t="str">
        <x:v>O</x:v>
      </x:c>
      <x:c r="T87" s="30" t="str"/>
    </x:row>
    <x:row r="88">
      <x:c r="A88" s="29" t="n">
        <x:v>95</x:v>
      </x:c>
      <x:c r="B88" s="13" t="str">
        <x:v>운영</x:v>
      </x:c>
      <x:c r="C88" s="13" t="str">
        <x:v>의왕</x:v>
      </x:c>
      <x:c r="D88" s="13" t="str">
        <x:v>x86</x:v>
      </x:c>
      <x:c r="E88" s="13" t="str">
        <x:v>Linux</x:v>
      </x:c>
      <x:c r="F88" s="13" t="str">
        <x:v>IaaS</x:v>
      </x:c>
      <x:c r="G88" s="13" t="str">
        <x:v>신규</x:v>
      </x:c>
      <x:c r="H88" s="13" t="str">
        <x:v>IT 서비스 및 업무지원</x:v>
      </x:c>
      <x:c r="I88" s="13" t="str">
        <x:v>sbimxdlows05</x:v>
      </x:c>
      <x:c r="J88" s="17" t="str">
        <x:v>단말배포 WAS #05</x:v>
      </x:c>
      <x:c r="K88" s="13" t="str">
        <x:v>WAS</x:v>
      </x:c>
      <x:c r="L88" s="72"/>
      <x:c r="M88" s="74" t="n">
        <x:v>4</x:v>
      </x:c>
      <x:c r="N88" s="72" t="n">
        <x:v>8</x:v>
      </x:c>
      <x:c r="O88" s="72" t="n">
        <x:v>250</x:v>
      </x:c>
      <x:c r="P88" s="72" t="n">
        <x:v>110</x:v>
      </x:c>
      <x:c r="Q88" s="13" t="str">
        <x:v>솔루션 권고 * 서버당 7,000 사용자 기준</x:v>
      </x:c>
      <x:c r="R88" s="72"/>
      <x:c r="S88" s="66" t="str">
        <x:v>O</x:v>
      </x:c>
      <x:c r="T88" s="30" t="str"/>
    </x:row>
    <x:row r="89">
      <x:c r="A89" s="29" t="n">
        <x:v>96</x:v>
      </x:c>
      <x:c r="B89" s="13" t="str">
        <x:v>운영</x:v>
      </x:c>
      <x:c r="C89" s="13" t="str">
        <x:v>의왕</x:v>
      </x:c>
      <x:c r="D89" s="13" t="str">
        <x:v>x86</x:v>
      </x:c>
      <x:c r="E89" s="13" t="str">
        <x:v>Linux</x:v>
      </x:c>
      <x:c r="F89" s="13" t="str">
        <x:v>IaaS</x:v>
      </x:c>
      <x:c r="G89" s="13" t="str">
        <x:v>신규</x:v>
      </x:c>
      <x:c r="H89" s="13" t="str">
        <x:v>IT 서비스 및 업무지원</x:v>
      </x:c>
      <x:c r="I89" s="13" t="str">
        <x:v>sbimxdlows06</x:v>
      </x:c>
      <x:c r="J89" s="17" t="str">
        <x:v>단말배포 WAS #06</x:v>
      </x:c>
      <x:c r="K89" s="13" t="str">
        <x:v>WAS</x:v>
      </x:c>
      <x:c r="L89" s="72"/>
      <x:c r="M89" s="74" t="n">
        <x:v>4</x:v>
      </x:c>
      <x:c r="N89" s="72" t="n">
        <x:v>8</x:v>
      </x:c>
      <x:c r="O89" s="72" t="n">
        <x:v>250</x:v>
      </x:c>
      <x:c r="P89" s="72" t="n">
        <x:v>110</x:v>
      </x:c>
      <x:c r="Q89" s="13" t="str">
        <x:v>솔루션 권고 * 서버당 7,000 사용자 기준</x:v>
      </x:c>
      <x:c r="R89" s="72"/>
      <x:c r="S89" s="66" t="str">
        <x:v>O</x:v>
      </x:c>
      <x:c r="T89" s="30" t="str"/>
    </x:row>
    <x:row r="90">
      <x:c r="A90" s="29" t="n">
        <x:v>97</x:v>
      </x:c>
      <x:c r="B90" s="13" t="str">
        <x:v>운영</x:v>
      </x:c>
      <x:c r="C90" s="13" t="str">
        <x:v>의왕</x:v>
      </x:c>
      <x:c r="D90" s="13" t="str">
        <x:v>x86</x:v>
      </x:c>
      <x:c r="E90" s="13" t="str">
        <x:v>Linux</x:v>
      </x:c>
      <x:c r="F90" s="13" t="str">
        <x:v>IaaS</x:v>
      </x:c>
      <x:c r="G90" s="13" t="str">
        <x:v>신규</x:v>
      </x:c>
      <x:c r="H90" s="13" t="str">
        <x:v>IT 서비스 및 업무지원</x:v>
      </x:c>
      <x:c r="I90" s="13" t="str">
        <x:v>sbimbjloap01</x:v>
      </x:c>
      <x:c r="J90" s="17" t="str">
        <x:v>배치 AP #01</x:v>
      </x:c>
      <x:c r="K90" s="13" t="str">
        <x:v>AP</x:v>
      </x:c>
      <x:c r="L90" s="72" t="n">
        <x:v>16</x:v>
      </x:c>
      <x:c r="M90" s="74" t="n">
        <x:v>16</x:v>
      </x:c>
      <x:c r="N90" s="72" t="n">
        <x:v>256</x:v>
      </x:c>
      <x:c r="O90" s="72" t="n">
        <x:v>250</x:v>
      </x:c>
      <x:c r="P90" s="72"/>
      <x:c r="Q90" s="13" t="str">
        <x:v>은행 기준적용</x:v>
      </x:c>
      <x:c r="R90" s="72"/>
      <x:c r="S90" s="13" t="str">
        <x:v>-</x:v>
      </x:c>
      <x:c r="T90" s="30" t="str"/>
    </x:row>
    <x:row r="91">
      <x:c r="A91" s="29" t="n">
        <x:v>98</x:v>
      </x:c>
      <x:c r="B91" s="13" t="str">
        <x:v>운영</x:v>
      </x:c>
      <x:c r="C91" s="13" t="str">
        <x:v>의왕</x:v>
      </x:c>
      <x:c r="D91" s="13" t="str">
        <x:v>x86</x:v>
      </x:c>
      <x:c r="E91" s="13" t="str">
        <x:v>Linux</x:v>
      </x:c>
      <x:c r="F91" s="13" t="str">
        <x:v>IaaS</x:v>
      </x:c>
      <x:c r="G91" s="13" t="str">
        <x:v>신규</x:v>
      </x:c>
      <x:c r="H91" s="13" t="str">
        <x:v>IT 서비스 및 업무지원</x:v>
      </x:c>
      <x:c r="I91" s="13" t="str">
        <x:v>sbimcdloap01</x:v>
      </x:c>
      <x:c r="J91" s="17" t="str">
        <x:v>UNO Dashboard #01</x:v>
      </x:c>
      <x:c r="K91" s="13" t="str">
        <x:v>AP</x:v>
      </x:c>
      <x:c r="L91" s="72"/>
      <x:c r="M91" s="74" t="n">
        <x:v>4</x:v>
      </x:c>
      <x:c r="N91" s="72" t="n">
        <x:v>8</x:v>
      </x:c>
      <x:c r="O91" s="72" t="n">
        <x:v>250</x:v>
      </x:c>
      <x:c r="P91" s="72" t="n">
        <x:v>10</x:v>
      </x:c>
      <x:c r="Q91" s="13" t="str">
        <x:v>고객 요청사항</x:v>
      </x:c>
      <x:c r="R91" s="72"/>
      <x:c r="S91" s="13" t="str">
        <x:v>-</x:v>
      </x:c>
      <x:c r="T91" s="30" t="str"/>
    </x:row>
    <x:row r="92">
      <x:c r="A92" s="54" t="n">
        <x:v>99</x:v>
      </x:c>
      <x:c r="B92" s="21" t="str">
        <x:v>운영</x:v>
      </x:c>
      <x:c r="C92" s="21" t="str">
        <x:v>의왕</x:v>
      </x:c>
      <x:c r="D92" s="21" t="str">
        <x:v>x86</x:v>
      </x:c>
      <x:c r="E92" s="21" t="str">
        <x:v>Linux</x:v>
      </x:c>
      <x:c r="F92" s="21" t="str">
        <x:v>IaaS</x:v>
      </x:c>
      <x:c r="G92" s="21" t="str">
        <x:v>신규</x:v>
      </x:c>
      <x:c r="H92" s="21" t="str">
        <x:v>IT 서비스 및 업무지원</x:v>
      </x:c>
      <x:c r="I92" s="21" t="str">
        <x:v>sbimrdlows01</x:v>
      </x:c>
      <x:c r="J92" s="21" t="str">
        <x:v>출력물(RD) WAS #01</x:v>
      </x:c>
      <x:c r="K92" s="21" t="str">
        <x:v>WAS</x:v>
      </x:c>
      <x:c r="L92" s="74"/>
      <x:c r="M92" s="74" t="n">
        <x:v>0</x:v>
      </x:c>
      <x:c r="N92" s="74" t="n">
        <x:v>0</x:v>
      </x:c>
      <x:c r="O92" s="74" t="n">
        <x:v>250</x:v>
      </x:c>
      <x:c r="P92" s="74" t="n">
        <x:v>110</x:v>
      </x:c>
      <x:c r="Q92" s="21" t="str">
        <x:v>솔루션 권고(자료확인필요)</x:v>
      </x:c>
      <x:c r="R92" s="74"/>
      <x:c r="S92" s="21" t="str">
        <x:v>-</x:v>
      </x:c>
      <x:c r="T92" s="55" t="str"/>
    </x:row>
    <x:row r="93">
      <x:c r="A93" s="54" t="n">
        <x:v>100</x:v>
      </x:c>
      <x:c r="B93" s="21" t="str">
        <x:v>운영</x:v>
      </x:c>
      <x:c r="C93" s="21" t="str">
        <x:v>의왕</x:v>
      </x:c>
      <x:c r="D93" s="21" t="str">
        <x:v>x86</x:v>
      </x:c>
      <x:c r="E93" s="21" t="str">
        <x:v>Linux</x:v>
      </x:c>
      <x:c r="F93" s="21" t="str">
        <x:v>IaaS</x:v>
      </x:c>
      <x:c r="G93" s="21" t="str">
        <x:v>신규</x:v>
      </x:c>
      <x:c r="H93" s="21" t="str">
        <x:v>IT 서비스 및 업무지원</x:v>
      </x:c>
      <x:c r="I93" s="21" t="str">
        <x:v>sbimrdlows02</x:v>
      </x:c>
      <x:c r="J93" s="21" t="str">
        <x:v>출력물(RD) WAS #02</x:v>
      </x:c>
      <x:c r="K93" s="21" t="str">
        <x:v>WAS</x:v>
      </x:c>
      <x:c r="L93" s="74"/>
      <x:c r="M93" s="74" t="n">
        <x:v>0</x:v>
      </x:c>
      <x:c r="N93" s="74" t="n">
        <x:v>0</x:v>
      </x:c>
      <x:c r="O93" s="74" t="n">
        <x:v>250</x:v>
      </x:c>
      <x:c r="P93" s="74" t="n">
        <x:v>110</x:v>
      </x:c>
      <x:c r="Q93" s="21" t="str">
        <x:v>솔루션 권고(자료확인필요)</x:v>
      </x:c>
      <x:c r="R93" s="74"/>
      <x:c r="S93" s="21" t="str">
        <x:v>-</x:v>
      </x:c>
      <x:c r="T93" s="55" t="str"/>
    </x:row>
    <x:row r="94">
      <x:c r="A94" s="29" t="n">
        <x:v>101</x:v>
      </x:c>
      <x:c r="B94" s="13" t="str">
        <x:v>운영</x:v>
      </x:c>
      <x:c r="C94" s="13" t="str">
        <x:v>의왕</x:v>
      </x:c>
      <x:c r="D94" s="13" t="str">
        <x:v>x86</x:v>
      </x:c>
      <x:c r="E94" s="13" t="str">
        <x:v>Linux</x:v>
      </x:c>
      <x:c r="F94" s="68" t="str">
        <x:v>단독</x:v>
      </x:c>
      <x:c r="G94" s="13" t="str">
        <x:v>신규</x:v>
      </x:c>
      <x:c r="H94" s="13" t="str">
        <x:v>IT 서비스 및 업무지원</x:v>
      </x:c>
      <x:c r="I94" s="13" t="str">
        <x:v>sbimdtlotl01</x:v>
      </x:c>
      <x:c r="J94" s="17" t="str">
        <x:v>ETL #01</x:v>
      </x:c>
      <x:c r="K94" s="13" t="str">
        <x:v>AP</x:v>
      </x:c>
      <x:c r="L94" s="72" t="n">
        <x:v>64</x:v>
      </x:c>
      <x:c r="M94" s="74" t="n">
        <x:v>64</x:v>
      </x:c>
      <x:c r="N94" s="72" t="n">
        <x:v>512</x:v>
      </x:c>
      <x:c r="O94" s="72"/>
      <x:c r="P94" s="72"/>
      <x:c r="Q94" s="13" t="str">
        <x:v>ISP</x:v>
      </x:c>
      <x:c r="R94" s="72" t="n">
        <x:v>6318317</x:v>
      </x:c>
      <x:c r="S94" s="13" t="str">
        <x:v>-</x:v>
      </x:c>
      <x:c r="T94" s="30" t="str"/>
    </x:row>
    <x:row r="95">
      <x:c r="A95" s="29" t="n">
        <x:v>102</x:v>
      </x:c>
      <x:c r="B95" s="13" t="str">
        <x:v>운영</x:v>
      </x:c>
      <x:c r="C95" s="13" t="str">
        <x:v>의왕</x:v>
      </x:c>
      <x:c r="D95" s="13" t="str">
        <x:v>x86</x:v>
      </x:c>
      <x:c r="E95" s="13" t="str">
        <x:v>Linux</x:v>
      </x:c>
      <x:c r="F95" s="68" t="str">
        <x:v>단독</x:v>
      </x:c>
      <x:c r="G95" s="13" t="str">
        <x:v>신규</x:v>
      </x:c>
      <x:c r="H95" s="13" t="str">
        <x:v>IT 서비스 및 업무지원</x:v>
      </x:c>
      <x:c r="I95" s="13" t="str">
        <x:v>sbimdtlotl02</x:v>
      </x:c>
      <x:c r="J95" s="17" t="str">
        <x:v>ETL #02</x:v>
      </x:c>
      <x:c r="K95" s="13" t="str">
        <x:v>AP</x:v>
      </x:c>
      <x:c r="L95" s="72" t="n">
        <x:v>64</x:v>
      </x:c>
      <x:c r="M95" s="74" t="n">
        <x:v>64</x:v>
      </x:c>
      <x:c r="N95" s="72" t="n">
        <x:v>512</x:v>
      </x:c>
      <x:c r="O95" s="72"/>
      <x:c r="P95" s="72"/>
      <x:c r="Q95" s="13" t="str">
        <x:v>ISP</x:v>
      </x:c>
      <x:c r="R95" s="72" t="n">
        <x:v>6318317</x:v>
      </x:c>
      <x:c r="S95" s="13" t="str">
        <x:v>-</x:v>
      </x:c>
      <x:c r="T95" s="30" t="str"/>
    </x:row>
    <x:row r="96">
      <x:c r="A96" s="29" t="n">
        <x:v>103</x:v>
      </x:c>
      <x:c r="B96" s="13" t="str">
        <x:v>운영</x:v>
      </x:c>
      <x:c r="C96" s="13" t="str">
        <x:v>의왕</x:v>
      </x:c>
      <x:c r="D96" s="13" t="str">
        <x:v>IBM</x:v>
      </x:c>
      <x:c r="E96" s="13" t="str">
        <x:v>UNIX</x:v>
      </x:c>
      <x:c r="F96" s="68" t="str">
        <x:v>단독</x:v>
      </x:c>
      <x:c r="G96" s="13" t="str">
        <x:v>신규</x:v>
      </x:c>
      <x:c r="H96" s="13" t="str">
        <x:v>IT 서비스 및 업무지원</x:v>
      </x:c>
      <x:c r="I96" s="13" t="str">
        <x:v>sbimcdiodb01</x:v>
      </x:c>
      <x:c r="J96" s="17" t="str">
        <x:v>CDC 중계 DB #01</x:v>
      </x:c>
      <x:c r="K96" s="13" t="str">
        <x:v>DB</x:v>
      </x:c>
      <x:c r="L96" s="72" t="n">
        <x:v>8</x:v>
      </x:c>
      <x:c r="M96" s="74" t="n">
        <x:v>8</x:v>
      </x:c>
      <x:c r="N96" s="72" t="n">
        <x:v>384</x:v>
      </x:c>
      <x:c r="O96" s="72" t="n">
        <x:v>800</x:v>
      </x:c>
      <x:c r="P96" s="72"/>
      <x:c r="Q96" s="13" t="str">
        <x:v>은행 기준적용</x:v>
      </x:c>
      <x:c r="R96" s="72"/>
      <x:c r="S96" s="13" t="str">
        <x:v>-</x:v>
      </x:c>
      <x:c r="T96" s="30" t="str"/>
    </x:row>
    <x:row r="97">
      <x:c r="A97" s="29" t="n">
        <x:v>104</x:v>
      </x:c>
      <x:c r="B97" s="13" t="str">
        <x:v>운영</x:v>
      </x:c>
      <x:c r="C97" s="13" t="str">
        <x:v>의왕</x:v>
      </x:c>
      <x:c r="D97" s="13" t="str">
        <x:v>IBM</x:v>
      </x:c>
      <x:c r="E97" s="13" t="str">
        <x:v>UNIX</x:v>
      </x:c>
      <x:c r="F97" s="68" t="str">
        <x:v>단독</x:v>
      </x:c>
      <x:c r="G97" s="13" t="str">
        <x:v>신규</x:v>
      </x:c>
      <x:c r="H97" s="13" t="str">
        <x:v>IT 서비스 및 업무지원</x:v>
      </x:c>
      <x:c r="I97" s="13" t="str">
        <x:v>sbimcdiodb02</x:v>
      </x:c>
      <x:c r="J97" s="17" t="str">
        <x:v>CDC 중계 DB #02</x:v>
      </x:c>
      <x:c r="K97" s="13" t="str">
        <x:v>DB</x:v>
      </x:c>
      <x:c r="L97" s="72" t="n">
        <x:v>8</x:v>
      </x:c>
      <x:c r="M97" s="74" t="n">
        <x:v>8</x:v>
      </x:c>
      <x:c r="N97" s="72" t="n">
        <x:v>384</x:v>
      </x:c>
      <x:c r="O97" s="72" t="n">
        <x:v>800</x:v>
      </x:c>
      <x:c r="P97" s="72"/>
      <x:c r="Q97" s="13" t="str">
        <x:v>은행 기준적용</x:v>
      </x:c>
      <x:c r="R97" s="72"/>
      <x:c r="S97" s="13" t="str">
        <x:v>-</x:v>
      </x:c>
      <x:c r="T97" s="30" t="str"/>
    </x:row>
    <x:row r="98">
      <x:c r="A98" s="29" t="n">
        <x:v>105</x:v>
      </x:c>
      <x:c r="B98" s="13" t="str">
        <x:v>운영</x:v>
      </x:c>
      <x:c r="C98" s="13" t="str">
        <x:v>의왕</x:v>
      </x:c>
      <x:c r="D98" s="13" t="str">
        <x:v>x86</x:v>
      </x:c>
      <x:c r="E98" s="13" t="str">
        <x:v>Linux</x:v>
      </x:c>
      <x:c r="F98" s="13" t="str">
        <x:v>IaaS</x:v>
      </x:c>
      <x:c r="G98" s="13" t="str">
        <x:v>기존</x:v>
      </x:c>
      <x:c r="H98" s="13" t="str">
        <x:v>IT 서비스 및 업무지원</x:v>
      </x:c>
      <x:c r="I98" s="13" t="str"/>
      <x:c r="J98" s="17" t="str">
        <x:v>마스터관리 #01</x:v>
      </x:c>
      <x:c r="K98" s="13" t="str"/>
      <x:c r="L98" s="72"/>
      <x:c r="M98" s="74" t="n">
        <x:v>0</x:v>
      </x:c>
      <x:c r="N98" s="72"/>
      <x:c r="O98" s="72" t="n">
        <x:v>250</x:v>
      </x:c>
      <x:c r="P98" s="72"/>
      <x:c r="Q98" s="13" t="str">
        <x:v>테크시스템부</x:v>
      </x:c>
      <x:c r="R98" s="72"/>
      <x:c r="S98" s="13" t="str">
        <x:v>-</x:v>
      </x:c>
      <x:c r="T98" s="30" t="str"/>
    </x:row>
    <x:row r="99">
      <x:c r="A99" s="29" t="n">
        <x:v>106</x:v>
      </x:c>
      <x:c r="B99" s="13" t="str">
        <x:v>운영</x:v>
      </x:c>
      <x:c r="C99" s="13" t="str">
        <x:v>의왕</x:v>
      </x:c>
      <x:c r="D99" s="13" t="str">
        <x:v>Oracle</x:v>
      </x:c>
      <x:c r="E99" s="13" t="str">
        <x:v>Linux</x:v>
      </x:c>
      <x:c r="F99" s="64" t="str">
        <x:v>어플라이언스</x:v>
      </x:c>
      <x:c r="G99" s="13" t="str">
        <x:v>신규</x:v>
      </x:c>
      <x:c r="H99" s="13" t="str">
        <x:v>데이터플랫폼 시스템</x:v>
      </x:c>
      <x:c r="I99" s="13" t="str">
        <x:v>sbrdcoxdb01</x:v>
      </x:c>
      <x:c r="J99" s="17" t="str">
        <x:v>RDW 어플라이언스 #01</x:v>
      </x:c>
      <x:c r="K99" s="13" t="str">
        <x:v>DB</x:v>
      </x:c>
      <x:c r="L99" s="72" t="n">
        <x:v>96</x:v>
      </x:c>
      <x:c r="M99" s="74" t="n">
        <x:v>96</x:v>
      </x:c>
      <x:c r="N99" s="72" t="n">
        <x:v>1024</x:v>
      </x:c>
      <x:c r="O99" s="72"/>
      <x:c r="P99" s="72" t="n">
        <x:v>249856</x:v>
      </x:c>
      <x:c r="Q99" s="13" t="str">
        <x:v>ISP</x:v>
      </x:c>
      <x:c r="R99" s="72" t="n">
        <x:v>24387550</x:v>
      </x:c>
      <x:c r="S99" s="66" t="str">
        <x:v>O</x:v>
      </x:c>
      <x:c r="T99" s="30" t="str"/>
    </x:row>
    <x:row r="100">
      <x:c r="A100" s="29" t="n">
        <x:v>107</x:v>
      </x:c>
      <x:c r="B100" s="13" t="str">
        <x:v>운영</x:v>
      </x:c>
      <x:c r="C100" s="13" t="str">
        <x:v>의왕</x:v>
      </x:c>
      <x:c r="D100" s="13" t="str">
        <x:v>Oracle</x:v>
      </x:c>
      <x:c r="E100" s="13" t="str">
        <x:v>Linux</x:v>
      </x:c>
      <x:c r="F100" s="64" t="str">
        <x:v>어플라이언스</x:v>
      </x:c>
      <x:c r="G100" s="13" t="str">
        <x:v>신규</x:v>
      </x:c>
      <x:c r="H100" s="13" t="str">
        <x:v>데이터플랫폼 시스템</x:v>
      </x:c>
      <x:c r="I100" s="13" t="str">
        <x:v>sbrdcoxdb02</x:v>
      </x:c>
      <x:c r="J100" s="17" t="str">
        <x:v>RDW 어플라이언스 #02</x:v>
      </x:c>
      <x:c r="K100" s="13" t="str">
        <x:v>DB</x:v>
      </x:c>
      <x:c r="L100" s="72" t="n">
        <x:v>96</x:v>
      </x:c>
      <x:c r="M100" s="74" t="n">
        <x:v>96</x:v>
      </x:c>
      <x:c r="N100" s="72" t="n">
        <x:v>1024</x:v>
      </x:c>
      <x:c r="O100" s="72"/>
      <x:c r="P100" s="72" t="n">
        <x:v>249856</x:v>
      </x:c>
      <x:c r="Q100" s="13" t="str">
        <x:v>ISP</x:v>
      </x:c>
      <x:c r="R100" s="72" t="n">
        <x:v>24387550</x:v>
      </x:c>
      <x:c r="S100" s="66" t="str">
        <x:v>O</x:v>
      </x:c>
      <x:c r="T100" s="30" t="str"/>
    </x:row>
    <x:row r="101">
      <x:c r="A101" s="29" t="n">
        <x:v>108</x:v>
      </x:c>
      <x:c r="B101" s="13" t="str">
        <x:v>운영</x:v>
      </x:c>
      <x:c r="C101" s="13" t="str">
        <x:v>의왕</x:v>
      </x:c>
      <x:c r="D101" s="13" t="str">
        <x:v>Oracle</x:v>
      </x:c>
      <x:c r="E101" s="13" t="str">
        <x:v>Linux</x:v>
      </x:c>
      <x:c r="F101" s="64" t="str">
        <x:v>어플라이언스</x:v>
      </x:c>
      <x:c r="G101" s="13" t="str">
        <x:v>신규</x:v>
      </x:c>
      <x:c r="H101" s="13" t="str">
        <x:v>데이터플랫폼 시스템</x:v>
      </x:c>
      <x:c r="I101" s="13" t="str">
        <x:v>sbadcoxdb01</x:v>
      </x:c>
      <x:c r="J101" s="17" t="str">
        <x:v>ADW 어플라이언스 #01</x:v>
      </x:c>
      <x:c r="K101" s="13" t="str">
        <x:v>DB</x:v>
      </x:c>
      <x:c r="L101" s="72" t="n">
        <x:v>384</x:v>
      </x:c>
      <x:c r="M101" s="74" t="n">
        <x:v>384</x:v>
      </x:c>
      <x:c r="N101" s="72" t="n">
        <x:v>3072</x:v>
      </x:c>
      <x:c r="O101" s="72"/>
      <x:c r="P101" s="72" t="n">
        <x:v>1073152</x:v>
      </x:c>
      <x:c r="Q101" s="13" t="str">
        <x:v>ISP</x:v>
      </x:c>
      <x:c r="R101" s="72" t="n">
        <x:v>47818722</x:v>
      </x:c>
      <x:c r="S101" s="13" t="str">
        <x:v>-</x:v>
      </x:c>
      <x:c r="T101" s="30" t="str"/>
    </x:row>
    <x:row r="102">
      <x:c r="A102" s="29" t="n">
        <x:v>109</x:v>
      </x:c>
      <x:c r="B102" s="13" t="str">
        <x:v>운영</x:v>
      </x:c>
      <x:c r="C102" s="13" t="str">
        <x:v>의왕</x:v>
      </x:c>
      <x:c r="D102" s="13" t="str">
        <x:v>Oracle</x:v>
      </x:c>
      <x:c r="E102" s="13" t="str">
        <x:v>Linux</x:v>
      </x:c>
      <x:c r="F102" s="64" t="str">
        <x:v>어플라이언스</x:v>
      </x:c>
      <x:c r="G102" s="13" t="str">
        <x:v>신규</x:v>
      </x:c>
      <x:c r="H102" s="13" t="str">
        <x:v>데이터플랫폼 시스템</x:v>
      </x:c>
      <x:c r="I102" s="13" t="str">
        <x:v>sbadcoxdb02</x:v>
      </x:c>
      <x:c r="J102" s="17" t="str">
        <x:v>ADW 어플라이언스 #02</x:v>
      </x:c>
      <x:c r="K102" s="13" t="str">
        <x:v>DB</x:v>
      </x:c>
      <x:c r="L102" s="72"/>
      <x:c r="M102" s="74"/>
      <x:c r="N102" s="72"/>
      <x:c r="O102" s="72"/>
      <x:c r="P102" s="72"/>
      <x:c r="Q102" s="13" t="str"/>
      <x:c r="R102" s="72"/>
      <x:c r="S102" s="13" t="str">
        <x:v>-</x:v>
      </x:c>
      <x:c r="T102" s="30" t="str"/>
    </x:row>
    <x:row r="103">
      <x:c r="A103" s="29" t="n">
        <x:v>110</x:v>
      </x:c>
      <x:c r="B103" s="13" t="str">
        <x:v>운영</x:v>
      </x:c>
      <x:c r="C103" s="13" t="str">
        <x:v>의왕</x:v>
      </x:c>
      <x:c r="D103" s="13" t="str">
        <x:v>Oracle</x:v>
      </x:c>
      <x:c r="E103" s="13" t="str">
        <x:v>Linux</x:v>
      </x:c>
      <x:c r="F103" s="64" t="str">
        <x:v>어플라이언스</x:v>
      </x:c>
      <x:c r="G103" s="13" t="str">
        <x:v>신규</x:v>
      </x:c>
      <x:c r="H103" s="13" t="str">
        <x:v>데이터플랫폼 시스템</x:v>
      </x:c>
      <x:c r="I103" s="13" t="str">
        <x:v>sbadcoxdb03</x:v>
      </x:c>
      <x:c r="J103" s="17" t="str">
        <x:v>ADW 어플라이언스 #03</x:v>
      </x:c>
      <x:c r="K103" s="13" t="str">
        <x:v>DB</x:v>
      </x:c>
      <x:c r="L103" s="72"/>
      <x:c r="M103" s="74"/>
      <x:c r="N103" s="72"/>
      <x:c r="O103" s="72"/>
      <x:c r="P103" s="72"/>
      <x:c r="Q103" s="13" t="str"/>
      <x:c r="R103" s="72"/>
      <x:c r="S103" s="13" t="str">
        <x:v>-</x:v>
      </x:c>
      <x:c r="T103" s="30" t="str"/>
    </x:row>
    <x:row r="104">
      <x:c r="A104" s="29" t="n">
        <x:v>111</x:v>
      </x:c>
      <x:c r="B104" s="13" t="str">
        <x:v>운영</x:v>
      </x:c>
      <x:c r="C104" s="13" t="str">
        <x:v>의왕</x:v>
      </x:c>
      <x:c r="D104" s="13" t="str">
        <x:v>Oracle</x:v>
      </x:c>
      <x:c r="E104" s="13" t="str">
        <x:v>Linux</x:v>
      </x:c>
      <x:c r="F104" s="64" t="str">
        <x:v>어플라이언스</x:v>
      </x:c>
      <x:c r="G104" s="13" t="str">
        <x:v>신규</x:v>
      </x:c>
      <x:c r="H104" s="13" t="str">
        <x:v>데이터플랫폼 시스템</x:v>
      </x:c>
      <x:c r="I104" s="13" t="str">
        <x:v>sbadcoxdb04</x:v>
      </x:c>
      <x:c r="J104" s="17" t="str">
        <x:v>ADW 어플라이언스 #04</x:v>
      </x:c>
      <x:c r="K104" s="13" t="str">
        <x:v>DB</x:v>
      </x:c>
      <x:c r="L104" s="72"/>
      <x:c r="M104" s="74"/>
      <x:c r="N104" s="72"/>
      <x:c r="O104" s="72"/>
      <x:c r="P104" s="72"/>
      <x:c r="Q104" s="13" t="str"/>
      <x:c r="R104" s="72"/>
      <x:c r="S104" s="13" t="str">
        <x:v>-</x:v>
      </x:c>
      <x:c r="T104" s="30" t="str"/>
    </x:row>
    <x:row r="105">
      <x:c r="A105" s="29" t="n">
        <x:v>112</x:v>
      </x:c>
      <x:c r="B105" s="13" t="str">
        <x:v>운영</x:v>
      </x:c>
      <x:c r="C105" s="13" t="str">
        <x:v>의왕</x:v>
      </x:c>
      <x:c r="D105" s="13" t="str">
        <x:v>Oracle</x:v>
      </x:c>
      <x:c r="E105" s="13" t="str">
        <x:v>Linux</x:v>
      </x:c>
      <x:c r="F105" s="64" t="str">
        <x:v>어플라이언스</x:v>
      </x:c>
      <x:c r="G105" s="13" t="str">
        <x:v>신규</x:v>
      </x:c>
      <x:c r="H105" s="13" t="str">
        <x:v>데이터플랫폼 시스템</x:v>
      </x:c>
      <x:c r="I105" s="13" t="str">
        <x:v>sbadcoxdb05</x:v>
      </x:c>
      <x:c r="J105" s="17" t="str">
        <x:v>ADW 어플라이언스 #05</x:v>
      </x:c>
      <x:c r="K105" s="13" t="str">
        <x:v>DB</x:v>
      </x:c>
      <x:c r="L105" s="72"/>
      <x:c r="M105" s="74"/>
      <x:c r="N105" s="72"/>
      <x:c r="O105" s="72"/>
      <x:c r="P105" s="72"/>
      <x:c r="Q105" s="13" t="str"/>
      <x:c r="R105" s="72"/>
      <x:c r="S105" s="13" t="str">
        <x:v>-</x:v>
      </x:c>
      <x:c r="T105" s="30" t="str"/>
    </x:row>
    <x:row r="106">
      <x:c r="A106" s="31" t="n">
        <x:v>113</x:v>
      </x:c>
      <x:c r="B106" s="32" t="str">
        <x:v>운영</x:v>
      </x:c>
      <x:c r="C106" s="32" t="str">
        <x:v>의왕</x:v>
      </x:c>
      <x:c r="D106" s="32" t="str">
        <x:v>Oracle</x:v>
      </x:c>
      <x:c r="E106" s="32" t="str">
        <x:v>Linux</x:v>
      </x:c>
      <x:c r="F106" s="70" t="str">
        <x:v>어플라이언스</x:v>
      </x:c>
      <x:c r="G106" s="32" t="str">
        <x:v>신규</x:v>
      </x:c>
      <x:c r="H106" s="32" t="str">
        <x:v>데이터플랫폼 시스템</x:v>
      </x:c>
      <x:c r="I106" s="32" t="str">
        <x:v>sbadcoxdb06</x:v>
      </x:c>
      <x:c r="J106" s="33" t="str">
        <x:v>ADW 어플라이언스 #06</x:v>
      </x:c>
      <x:c r="K106" s="32" t="str">
        <x:v>DB</x:v>
      </x:c>
      <x:c r="L106" s="76"/>
      <x:c r="M106" s="82"/>
      <x:c r="N106" s="76"/>
      <x:c r="O106" s="76"/>
      <x:c r="P106" s="76"/>
      <x:c r="Q106" s="32" t="str"/>
      <x:c r="R106" s="76"/>
      <x:c r="S106" s="32" t="str">
        <x:v>-</x:v>
      </x:c>
      <x:c r="T106" s="35" t="str"/>
    </x:row>
  </x:sheetData>
  <x:pageMargins left="0.7" right="0.7" top="0.75" bottom="0.75" header="0.3" footer="0.3"/>
  <x:tableParts count="1">
    <x:tablePart xmlns:r="http://schemas.openxmlformats.org/officeDocument/2006/relationships" r:id="Ra2dbfbb4bc8e4f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4" max="4" width="22" hidden="0" customWidth="1"/>
    <x:col min="5" max="5" width="62" hidden="0" customWidth="1"/>
  </x:cols>
  <x:sheetData>
    <x:row r="1">
      <x:c r="A1" s="104" t="str">
        <x:v>기준항목</x:v>
      </x:c>
      <x:c r="B1" s="105" t="str">
        <x:v>이미지 판독값</x:v>
      </x:c>
      <x:c r="D1" s="126" t="str">
        <x:v>판독 원칙</x:v>
      </x:c>
      <x:c r="E1" s="127" t="str">
        <x:v>내용</x:v>
      </x:c>
    </x:row>
    <x:row r="2">
      <x:c r="A2" s="106" t="str">
        <x:v>메모리 용량 기준</x:v>
      </x:c>
      <x:c r="B2" s="107" t="str">
        <x:v>WEB 4GB/Core, WAS/AP 8GB/Core, DB 16GB/Core</x:v>
      </x:c>
      <x:c r="D2" s="106" t="str">
        <x:v>기준</x:v>
      </x:c>
      <x:c r="E2" s="107" t="str">
        <x:v>현재 대화에 업로드된 5개 스크린샷만 기준으로 작성</x:v>
      </x:c>
    </x:row>
    <x:row r="3">
      <x:c r="A3" s="106" t="str">
        <x:v>개발시스템 용량 운영대비 비율</x:v>
      </x:c>
      <x:c r="B3" s="107" t="str">
        <x:v>20%</x:v>
      </x:c>
      <x:c r="D3" s="106" t="str">
        <x:v>빈 셀</x:v>
      </x:c>
      <x:c r="E3" s="107" t="str">
        <x:v>이미지에서 값이 없는 항목은 빈 셀로 유지</x:v>
      </x:c>
    </x:row>
    <x:row r="4">
      <x:c r="A4" s="106" t="str">
        <x:v>DR시스템 용량 운영대비 비율</x:v>
      </x:c>
      <x:c r="B4" s="107" t="str">
        <x:v>80%</x:v>
      </x:c>
      <x:c r="D4" s="106" t="str">
        <x:v>우측 비고</x:v>
      </x:c>
      <x:c r="E4" s="107" t="str">
        <x:v>화면 가장자리에서 일부 잘린 문구는 추정하지 않음</x:v>
      </x:c>
    </x:row>
    <x:row r="5">
      <x:c r="A5" s="106" t="str">
        <x:v>WEB 서버 추가 Disk</x:v>
      </x:c>
      <x:c r="B5" s="107" t="str">
        <x:v>100GB (WEB엔진 10GB, WEB Log 50GB, 사용자 홈 10GB, 여유 30GB)</x:v>
      </x:c>
      <x:c r="D5" s="108" t="str">
        <x:v>단위</x:v>
      </x:c>
      <x:c r="E5" s="109" t="str">
        <x:v>CPU=Core, MEM/Disk=GB, tpmC=이미지 표기값</x:v>
      </x:c>
    </x:row>
    <x:row r="6">
      <x:c r="A6" s="106" t="str">
        <x:v>WAS 서버 추가 Disk</x:v>
      </x:c>
      <x:c r="B6" s="107" t="str">
        <x:v>110GB (WAS엔진 20GB, WAS Log 50GB, 사용자 홈 10GB, 여유 30GB)</x:v>
      </x:c>
    </x:row>
    <x:row r="7">
      <x:c r="A7" s="106" t="str">
        <x:v>IaaS OS Disk</x:v>
      </x:c>
      <x:c r="B7" s="107" t="str">
        <x:v>250GB</x:v>
      </x:c>
    </x:row>
    <x:row r="8">
      <x:c r="A8" s="108" t="str">
        <x:v>tpmC/Core 기준값</x:v>
      </x:c>
      <x:c r="B8" s="109" t="str">
        <x:v>110,000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4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13" hidden="0" customWidth="1"/>
    <x:col min="11" max="11" width="12" hidden="0" customWidth="1"/>
    <x:col min="12" max="12" width="15" hidden="0" customWidth="1"/>
    <x:col min="13" max="13" width="13" hidden="0" customWidth="1"/>
    <x:col min="14" max="14" width="13" hidden="0" customWidth="1"/>
    <x:col min="15" max="15" width="16" hidden="0" customWidth="1"/>
    <x:col min="16" max="16" width="12" hidden="0" customWidth="1"/>
    <x:col min="17" max="17" width="12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</x:cols>
  <x:sheetData>
    <x:row r="1">
      <x:c r="A1" s="177" t="str">
        <x:v>1. WEB 서버 용량산정 산식</x:v>
      </x:c>
      <x:c r="B1" s="12"/>
      <x:c r="C1" s="199"/>
      <x:c r="D1" s="199"/>
      <x:c r="E1" s="231"/>
      <x:c r="F1" s="231"/>
      <x:c r="G1" s="231"/>
      <x:c r="H1" s="231"/>
      <x:c r="I1" s="231"/>
      <x:c r="J1" s="231"/>
      <x:c r="K1" s="231"/>
      <x:c r="L1" s="199"/>
      <x:c r="M1" s="199"/>
      <x:c r="N1" s="199"/>
      <x:c r="O1" s="199"/>
      <x:c r="P1" s="213" t="str">
        <x:v>Core 기준</x:v>
      </x:c>
      <x:c r="Q1" s="227" t="str">
        <x:v>값</x:v>
      </x:c>
    </x:row>
    <x:row r="2">
      <x:c r="A2" s="12"/>
      <x:c r="B2" s="12"/>
      <x:c r="C2" s="199"/>
      <x:c r="D2" s="199"/>
      <x:c r="E2" s="231"/>
      <x:c r="F2" s="231"/>
      <x:c r="G2" s="231"/>
      <x:c r="H2" s="231"/>
      <x:c r="I2" s="231"/>
      <x:c r="J2" s="231"/>
      <x:c r="K2" s="231"/>
      <x:c r="L2" s="199"/>
      <x:c r="M2" s="199"/>
      <x:c r="N2" s="199"/>
      <x:c r="O2" s="199"/>
      <x:c r="P2" s="214" t="str">
        <x:v>tpmC/Core</x:v>
      </x:c>
      <x:c r="Q2" s="228" t="n">
        <x:v>110000</x:v>
      </x:c>
    </x:row>
    <x:row r="3">
      <x:c r="A3" s="144" t="str">
        <x:v>대상</x:v>
      </x:c>
      <x:c r="B3" s="145" t="str">
        <x:v>AS-IS 기준 서버</x:v>
      </x:c>
      <x:c r="C3" s="200" t="str">
        <x:v>서버당 보유성능 tpmC</x:v>
      </x:c>
      <x:c r="D3" s="200" t="str">
        <x:v>구성수량</x:v>
      </x:c>
      <x:c r="E3" s="232" t="str">
        <x:v>CPU 사용률</x:v>
      </x:c>
      <x:c r="F3" s="232" t="str">
        <x:v>목표사용률</x:v>
      </x:c>
      <x:c r="G3" s="232" t="str">
        <x:v>업무용도 보정</x:v>
      </x:c>
      <x:c r="H3" s="232" t="str">
        <x:v>DB 부하 보정</x:v>
      </x:c>
      <x:c r="I3" s="232" t="str">
        <x:v>네트워크 보정</x:v>
      </x:c>
      <x:c r="J3" s="232" t="str">
        <x:v>향후 시스템 증가율</x:v>
      </x:c>
      <x:c r="K3" s="232" t="str">
        <x:v>시스템 여유율</x:v>
      </x:c>
      <x:c r="L3" s="200" t="str">
        <x:v>tpmC 산정결과</x:v>
      </x:c>
      <x:c r="M3" s="200" t="str">
        <x:v>필요 Core</x:v>
      </x:c>
      <x:c r="N3" s="209"/>
      <x:c r="O3" s="209"/>
      <x:c r="P3" s="215"/>
      <x:c r="Q3" s="199"/>
    </x:row>
    <x:row r="4">
      <x:c r="A4" s="106" t="str">
        <x:v>마케팅플랫폼 WEB</x:v>
      </x:c>
      <x:c r="B4" s="12" t="str">
        <x:v>CRM WEB/WAS #01,#02</x:v>
      </x:c>
      <x:c r="C4" s="199" t="n">
        <x:v>1212854</x:v>
      </x:c>
      <x:c r="D4" s="199" t="n">
        <x:v>2</x:v>
      </x:c>
      <x:c r="E4" s="231" t="n">
        <x:v>0.4</x:v>
      </x:c>
      <x:c r="F4" s="231" t="n">
        <x:v>0.6</x:v>
      </x:c>
      <x:c r="G4" s="231" t="n">
        <x:v>0.7</x:v>
      </x:c>
      <x:c r="H4" s="231" t="n">
        <x:v>1.1</x:v>
      </x:c>
      <x:c r="I4" s="231" t="n">
        <x:v>1.1</x:v>
      </x:c>
      <x:c r="J4" s="231" t="n">
        <x:v>1.5</x:v>
      </x:c>
      <x:c r="K4" s="231" t="n">
        <x:v>1.1</x:v>
      </x:c>
      <x:c r="L4" s="207" t="n">
        <x:f>ROUND(ROUND(ROUND(ROUND(ROUND(ROUND(ROUND(ROUND(C4*D4,0)*E4,0)/F4,0)*G4,0)*H4,0)*I4,0)*J4,0)*K4,0)</x:f>
        <x:v>2260034</x:v>
      </x:c>
      <x:c r="M4" s="207" t="n">
        <x:f>ROUND(L4/$Q$2,0)</x:f>
        <x:v>21</x:v>
      </x:c>
      <x:c r="N4" s="199"/>
      <x:c r="O4" s="199"/>
      <x:c r="P4" s="216"/>
      <x:c r="Q4" s="199"/>
    </x:row>
    <x:row r="5">
      <x:c r="A5" s="106" t="str">
        <x:v>싱글뷰 WEB</x:v>
      </x:c>
      <x:c r="B5" s="12" t="str">
        <x:v>토탈마케팅 WEB #01,#02</x:v>
      </x:c>
      <x:c r="C5" s="199" t="n">
        <x:v>753120</x:v>
      </x:c>
      <x:c r="D5" s="199" t="n">
        <x:v>2</x:v>
      </x:c>
      <x:c r="E5" s="231" t="n">
        <x:v>0.3</x:v>
      </x:c>
      <x:c r="F5" s="231" t="n">
        <x:v>0.6</x:v>
      </x:c>
      <x:c r="G5" s="231" t="n">
        <x:v>1</x:v>
      </x:c>
      <x:c r="H5" s="231" t="n">
        <x:v>1.1</x:v>
      </x:c>
      <x:c r="I5" s="231" t="n">
        <x:v>1.1</x:v>
      </x:c>
      <x:c r="J5" s="231" t="n">
        <x:v>1.5</x:v>
      </x:c>
      <x:c r="K5" s="231" t="n">
        <x:v>1.1</x:v>
      </x:c>
      <x:c r="L5" s="207" t="n">
        <x:f>ROUND(ROUND(ROUND(ROUND(ROUND(ROUND(ROUND(ROUND(C5*D5,0)*E5,0)/F5,0)*G5,0)*H5,0)*I5,0)*J5,0)*K5,0)</x:f>
        <x:v>1503604</x:v>
      </x:c>
      <x:c r="M5" s="207" t="n">
        <x:f>ROUND(L5/$Q$2,0)</x:f>
        <x:v>14</x:v>
      </x:c>
      <x:c r="N5" s="199"/>
      <x:c r="O5" s="199"/>
      <x:c r="P5" s="216"/>
      <x:c r="Q5" s="199"/>
    </x:row>
    <x:row r="6">
      <x:c r="A6" s="106" t="str">
        <x:v>신용실적 WEB</x:v>
      </x:c>
      <x:c r="B6" s="12" t="str">
        <x:v>신용실적 AP #01,#02</x:v>
      </x:c>
      <x:c r="C6" s="199" t="n">
        <x:v>1234117</x:v>
      </x:c>
      <x:c r="D6" s="199" t="n">
        <x:v>2</x:v>
      </x:c>
      <x:c r="E6" s="231" t="n">
        <x:v>0.05</x:v>
      </x:c>
      <x:c r="F6" s="231" t="n">
        <x:v>0.6</x:v>
      </x:c>
      <x:c r="G6" s="231" t="n">
        <x:v>0.7</x:v>
      </x:c>
      <x:c r="H6" s="231" t="n">
        <x:v>1.1</x:v>
      </x:c>
      <x:c r="I6" s="231" t="n">
        <x:v>1.1</x:v>
      </x:c>
      <x:c r="J6" s="231" t="n">
        <x:v>1.5</x:v>
      </x:c>
      <x:c r="K6" s="231" t="n">
        <x:v>1.1</x:v>
      </x:c>
      <x:c r="L6" s="207" t="n">
        <x:f>ROUND(ROUND(ROUND(ROUND(ROUND(ROUND(ROUND(ROUND(C6*D6,0)*E6,0)/F6,0)*G6,0)*H6,0)*I6,0)*J6,0)*K6,0)</x:f>
        <x:v>287459</x:v>
      </x:c>
      <x:c r="M6" s="207" t="n">
        <x:f>ROUND(L6/$Q$2,0)</x:f>
        <x:v>3</x:v>
      </x:c>
      <x:c r="N6" s="199"/>
      <x:c r="O6" s="199"/>
      <x:c r="P6" s="216"/>
      <x:c r="Q6" s="199"/>
    </x:row>
    <x:row r="7">
      <x:c r="A7" s="106" t="str">
        <x:v>OLAP WEB</x:v>
      </x:c>
      <x:c r="B7" s="12" t="str">
        <x:v>OLAP WAS #01,#02</x:v>
      </x:c>
      <x:c r="C7" s="199" t="n">
        <x:v>753120</x:v>
      </x:c>
      <x:c r="D7" s="199" t="n">
        <x:v>2</x:v>
      </x:c>
      <x:c r="E7" s="231" t="n">
        <x:v>0.1</x:v>
      </x:c>
      <x:c r="F7" s="231" t="n">
        <x:v>0.6</x:v>
      </x:c>
      <x:c r="G7" s="231" t="n">
        <x:v>0.7</x:v>
      </x:c>
      <x:c r="H7" s="231" t="n">
        <x:v>1.1</x:v>
      </x:c>
      <x:c r="I7" s="231" t="n">
        <x:v>1.1</x:v>
      </x:c>
      <x:c r="J7" s="231" t="n">
        <x:v>1.5</x:v>
      </x:c>
      <x:c r="K7" s="231" t="n">
        <x:v>1.1</x:v>
      </x:c>
      <x:c r="L7" s="207" t="n">
        <x:f>ROUND(ROUND(ROUND(ROUND(ROUND(ROUND(ROUND(ROUND(C7*D7,0)*E7,0)/F7,0)*G7,0)*H7,0)*I7,0)*J7,0)*K7,0)</x:f>
        <x:v>350842</x:v>
      </x:c>
      <x:c r="M7" s="207" t="n">
        <x:f>ROUND(L7/$Q$2,0)</x:f>
        <x:v>3</x:v>
      </x:c>
      <x:c r="N7" s="199"/>
      <x:c r="O7" s="199"/>
      <x:c r="P7" s="216"/>
      <x:c r="Q7" s="199"/>
    </x:row>
    <x:row r="8">
      <x:c r="A8" s="106"/>
      <x:c r="B8" s="12"/>
      <x:c r="C8" s="199"/>
      <x:c r="D8" s="199"/>
      <x:c r="E8" s="231"/>
      <x:c r="F8" s="231"/>
      <x:c r="G8" s="231"/>
      <x:c r="H8" s="231"/>
      <x:c r="I8" s="231"/>
      <x:c r="J8" s="231"/>
      <x:c r="K8" s="231"/>
      <x:c r="L8" s="199"/>
      <x:c r="M8" s="199"/>
      <x:c r="N8" s="199"/>
      <x:c r="O8" s="199"/>
      <x:c r="P8" s="216"/>
      <x:c r="Q8" s="199"/>
    </x:row>
    <x:row r="9">
      <x:c r="A9" s="106"/>
      <x:c r="B9" s="12"/>
      <x:c r="C9" s="199"/>
      <x:c r="D9" s="199"/>
      <x:c r="E9" s="231"/>
      <x:c r="F9" s="231"/>
      <x:c r="G9" s="231"/>
      <x:c r="H9" s="231"/>
      <x:c r="I9" s="231"/>
      <x:c r="J9" s="231"/>
      <x:c r="K9" s="231"/>
      <x:c r="L9" s="199"/>
      <x:c r="M9" s="199"/>
      <x:c r="N9" s="199"/>
      <x:c r="O9" s="199"/>
      <x:c r="P9" s="216"/>
      <x:c r="Q9" s="199"/>
    </x:row>
    <x:row r="10">
      <x:c r="A10" s="183" t="str">
        <x:v>2. WAS 서버 용량산정 산식</x:v>
      </x:c>
      <x:c r="B10" s="12"/>
      <x:c r="C10" s="199"/>
      <x:c r="D10" s="199"/>
      <x:c r="E10" s="231"/>
      <x:c r="F10" s="231"/>
      <x:c r="G10" s="231"/>
      <x:c r="H10" s="231"/>
      <x:c r="I10" s="231"/>
      <x:c r="J10" s="231"/>
      <x:c r="K10" s="231"/>
      <x:c r="L10" s="199"/>
      <x:c r="M10" s="199"/>
      <x:c r="N10" s="199"/>
      <x:c r="O10" s="199"/>
      <x:c r="P10" s="216"/>
      <x:c r="Q10" s="199"/>
    </x:row>
    <x:row r="11">
      <x:c r="A11" s="106"/>
      <x:c r="B11" s="12"/>
      <x:c r="C11" s="199"/>
      <x:c r="D11" s="199"/>
      <x:c r="E11" s="231"/>
      <x:c r="F11" s="231"/>
      <x:c r="G11" s="231"/>
      <x:c r="H11" s="231"/>
      <x:c r="I11" s="231"/>
      <x:c r="J11" s="231"/>
      <x:c r="K11" s="231"/>
      <x:c r="L11" s="199"/>
      <x:c r="M11" s="199"/>
      <x:c r="N11" s="199"/>
      <x:c r="O11" s="199"/>
      <x:c r="P11" s="216"/>
      <x:c r="Q11" s="199"/>
    </x:row>
    <x:row r="12">
      <x:c r="A12" s="150" t="str">
        <x:v>대상</x:v>
      </x:c>
      <x:c r="B12" s="135" t="str">
        <x:v>AS-IS 기준 서버</x:v>
      </x:c>
      <x:c r="C12" s="201" t="str">
        <x:v>서버당 보유성능 tpmC</x:v>
      </x:c>
      <x:c r="D12" s="201" t="str">
        <x:v>구성수량</x:v>
      </x:c>
      <x:c r="E12" s="233" t="str">
        <x:v>CPU 사용률</x:v>
      </x:c>
      <x:c r="F12" s="233" t="str">
        <x:v>목표사용률</x:v>
      </x:c>
      <x:c r="G12" s="233" t="str">
        <x:v>업무용도 보정</x:v>
      </x:c>
      <x:c r="H12" s="233" t="str">
        <x:v>Java 가중치</x:v>
      </x:c>
      <x:c r="I12" s="233" t="str">
        <x:v>인터페이스 보정</x:v>
      </x:c>
      <x:c r="J12" s="233" t="str">
        <x:v>네트워크 보정</x:v>
      </x:c>
      <x:c r="K12" s="233" t="str">
        <x:v>클러스터 보정</x:v>
      </x:c>
      <x:c r="L12" s="201" t="str">
        <x:v>향후 시스템 증가율</x:v>
      </x:c>
      <x:c r="M12" s="201" t="str">
        <x:v>시스템 여유율</x:v>
      </x:c>
      <x:c r="N12" s="201" t="str">
        <x:v>추가부하</x:v>
      </x:c>
      <x:c r="O12" s="201" t="str">
        <x:v>tpmC 산정결과</x:v>
      </x:c>
      <x:c r="P12" s="217" t="str">
        <x:v>필요 Core</x:v>
      </x:c>
      <x:c r="Q12" s="199"/>
    </x:row>
    <x:row r="13">
      <x:c r="A13" s="106" t="str">
        <x:v>마케팅플랫폼 WAS</x:v>
      </x:c>
      <x:c r="B13" s="12" t="str">
        <x:v>CRM WEB/WAS #01,#02</x:v>
      </x:c>
      <x:c r="C13" s="199" t="n">
        <x:v>1212854</x:v>
      </x:c>
      <x:c r="D13" s="199" t="n">
        <x:v>2</x:v>
      </x:c>
      <x:c r="E13" s="231" t="n">
        <x:v>0.4</x:v>
      </x:c>
      <x:c r="F13" s="231" t="n">
        <x:v>0.6</x:v>
      </x:c>
      <x:c r="G13" s="231" t="n">
        <x:v>1.1</x:v>
      </x:c>
      <x:c r="H13" s="231" t="n">
        <x:v>1.1</x:v>
      </x:c>
      <x:c r="I13" s="231" t="n">
        <x:v>1.1</x:v>
      </x:c>
      <x:c r="J13" s="231" t="n">
        <x:v>1.1</x:v>
      </x:c>
      <x:c r="K13" s="231" t="n">
        <x:v>1.3</x:v>
      </x:c>
      <x:c r="L13" s="231" t="n">
        <x:v>1.5</x:v>
      </x:c>
      <x:c r="M13" s="231" t="n">
        <x:v>1.1</x:v>
      </x:c>
      <x:c r="N13" s="199" t="n">
        <x:v>2620508</x:v>
      </x:c>
      <x:c r="O13" s="207" t="n">
        <x:f>ROUND(ROUND(ROUND(ROUND(ROUND(ROUND(ROUND(ROUND(ROUND(ROUND(C13*D13,0)*E13,0)/F13,0)*G13,0)*H13,0)*I13,0)*J13,0)*K13,0)*L13,0)*M13,0)+N13</x:f>
        <x:v>7699122</x:v>
      </x:c>
      <x:c r="P13" s="218" t="n">
        <x:f>ROUND(O13/$Q$2,0)</x:f>
        <x:v>70</x:v>
      </x:c>
      <x:c r="Q13" s="199"/>
    </x:row>
    <x:row r="14">
      <x:c r="A14" s="106" t="str">
        <x:v>싱글뷰 WAS</x:v>
      </x:c>
      <x:c r="B14" s="12" t="str">
        <x:v>토탈마케팅 WAS #01,#02 + 연계배치 AP 35%</x:v>
      </x:c>
      <x:c r="C14" s="199" t="n">
        <x:v>2418833</x:v>
      </x:c>
      <x:c r="D14" s="199" t="n">
        <x:v>2</x:v>
      </x:c>
      <x:c r="E14" s="231" t="n">
        <x:v>0.4</x:v>
      </x:c>
      <x:c r="F14" s="231" t="n">
        <x:v>0.6</x:v>
      </x:c>
      <x:c r="G14" s="231" t="n">
        <x:v>1</x:v>
      </x:c>
      <x:c r="H14" s="231" t="n">
        <x:v>1.1</x:v>
      </x:c>
      <x:c r="I14" s="231" t="n">
        <x:v>1.1</x:v>
      </x:c>
      <x:c r="J14" s="231" t="n">
        <x:v>1.1</x:v>
      </x:c>
      <x:c r="K14" s="231" t="n">
        <x:v>1.3</x:v>
      </x:c>
      <x:c r="L14" s="231" t="n">
        <x:v>1.5</x:v>
      </x:c>
      <x:c r="M14" s="231" t="n">
        <x:v>1.1</x:v>
      </x:c>
      <x:c r="N14" s="199" t="n">
        <x:v>0</x:v>
      </x:c>
      <x:c r="O14" s="207" t="n">
        <x:f>ROUND(ROUND(ROUND(ROUND(ROUND(ROUND(ROUND(ROUND(ROUND(ROUND(C14*D14,0)*E14,0)/F14,0)*G14,0)*H14,0)*I14,0)*J14,0)*K14,0)*L14,0)*M14,0)+N14</x:f>
        <x:v>9207672</x:v>
      </x:c>
      <x:c r="P14" s="218" t="n">
        <x:f>ROUND(O14/$Q$2,0)</x:f>
        <x:v>84</x:v>
      </x:c>
      <x:c r="Q14" s="199"/>
    </x:row>
    <x:row r="15">
      <x:c r="A15" s="106" t="str">
        <x:v>신용실적 WAS</x:v>
      </x:c>
      <x:c r="B15" s="12" t="str">
        <x:v>신용실적 AP #01,#02</x:v>
      </x:c>
      <x:c r="C15" s="199" t="n">
        <x:v>1234117</x:v>
      </x:c>
      <x:c r="D15" s="199" t="n">
        <x:v>2</x:v>
      </x:c>
      <x:c r="E15" s="231" t="n">
        <x:v>0.05</x:v>
      </x:c>
      <x:c r="F15" s="231" t="n">
        <x:v>0.6</x:v>
      </x:c>
      <x:c r="G15" s="231" t="n">
        <x:v>2</x:v>
      </x:c>
      <x:c r="H15" s="231" t="n">
        <x:v>1.1</x:v>
      </x:c>
      <x:c r="I15" s="231" t="n">
        <x:v>1.1</x:v>
      </x:c>
      <x:c r="J15" s="231" t="n">
        <x:v>1.1</x:v>
      </x:c>
      <x:c r="K15" s="231" t="n">
        <x:v>1.3</x:v>
      </x:c>
      <x:c r="L15" s="231" t="n">
        <x:v>1.5</x:v>
      </x:c>
      <x:c r="M15" s="231" t="n">
        <x:v>1.1</x:v>
      </x:c>
      <x:c r="N15" s="199" t="n">
        <x:v>0</x:v>
      </x:c>
      <x:c r="O15" s="207" t="n">
        <x:f>ROUND(ROUND(ROUND(ROUND(ROUND(ROUND(ROUND(ROUND(ROUND(ROUND(C15*D15,0)*E15,0)/F15,0)*G15,0)*H15,0)*I15,0)*J15,0)*K15,0)*L15,0)*M15,0)+N15</x:f>
        <x:v>1174469</x:v>
      </x:c>
      <x:c r="P15" s="218" t="n">
        <x:f>ROUND(O15/$Q$2,0)</x:f>
        <x:v>11</x:v>
      </x:c>
      <x:c r="Q15" s="199"/>
    </x:row>
    <x:row r="16">
      <x:c r="A16" s="106" t="str">
        <x:v>OLAP WAS</x:v>
      </x:c>
      <x:c r="B16" s="12" t="str">
        <x:v>OLAP WAS #01,#02</x:v>
      </x:c>
      <x:c r="C16" s="199" t="n">
        <x:v>753120</x:v>
      </x:c>
      <x:c r="D16" s="199" t="n">
        <x:v>2</x:v>
      </x:c>
      <x:c r="E16" s="231" t="n">
        <x:v>0.1</x:v>
      </x:c>
      <x:c r="F16" s="231" t="n">
        <x:v>0.6</x:v>
      </x:c>
      <x:c r="G16" s="231" t="n">
        <x:v>2</x:v>
      </x:c>
      <x:c r="H16" s="231" t="n">
        <x:v>1.1</x:v>
      </x:c>
      <x:c r="I16" s="231" t="n">
        <x:v>1.1</x:v>
      </x:c>
      <x:c r="J16" s="231" t="n">
        <x:v>1.1</x:v>
      </x:c>
      <x:c r="K16" s="231" t="n">
        <x:v>1.3</x:v>
      </x:c>
      <x:c r="L16" s="231" t="n">
        <x:v>1.5</x:v>
      </x:c>
      <x:c r="M16" s="231" t="n">
        <x:v>1.1</x:v>
      </x:c>
      <x:c r="N16" s="199" t="n">
        <x:v>0</x:v>
      </x:c>
      <x:c r="O16" s="207" t="n">
        <x:f>ROUND(ROUND(ROUND(ROUND(ROUND(ROUND(ROUND(ROUND(ROUND(ROUND(C16*D16,0)*E16,0)/F16,0)*G16,0)*H16,0)*I16,0)*J16,0)*K16,0)*L16,0)*M16,0)+N16</x:f>
        <x:v>1433438</x:v>
      </x:c>
      <x:c r="P16" s="218" t="n">
        <x:f>ROUND(O16/$Q$2,0)</x:f>
        <x:v>13</x:v>
      </x:c>
      <x:c r="Q16" s="199"/>
    </x:row>
    <x:row r="17">
      <x:c r="A17" s="106" t="str">
        <x:v>OLAP AP</x:v>
      </x:c>
      <x:c r="B17" s="12" t="str">
        <x:v>OLAP AP #01,#02</x:v>
      </x:c>
      <x:c r="C17" s="199" t="n">
        <x:v>4142160</x:v>
      </x:c>
      <x:c r="D17" s="199" t="n">
        <x:v>2</x:v>
      </x:c>
      <x:c r="E17" s="231" t="n">
        <x:v>0.15</x:v>
      </x:c>
      <x:c r="F17" s="231" t="n">
        <x:v>0.6</x:v>
      </x:c>
      <x:c r="G17" s="231" t="n">
        <x:v>1</x:v>
      </x:c>
      <x:c r="H17" s="231" t="n">
        <x:v>1</x:v>
      </x:c>
      <x:c r="I17" s="231" t="n">
        <x:v>1.2</x:v>
      </x:c>
      <x:c r="J17" s="231" t="n">
        <x:v>1.1</x:v>
      </x:c>
      <x:c r="K17" s="231" t="n">
        <x:v>1.3</x:v>
      </x:c>
      <x:c r="L17" s="231" t="n">
        <x:v>1.5</x:v>
      </x:c>
      <x:c r="M17" s="231" t="n">
        <x:v>1.1</x:v>
      </x:c>
      <x:c r="N17" s="199" t="n">
        <x:v>0</x:v>
      </x:c>
      <x:c r="O17" s="207" t="n">
        <x:f>ROUND(ROUND(ROUND(ROUND(ROUND(ROUND(ROUND(ROUND(ROUND(ROUND(C17*D17,0)*E17,0)/F17,0)*G17,0)*H17,0)*I17,0)*J17,0)*K17,0)*L17,0)*M17,0)+N17</x:f>
        <x:v>5864057</x:v>
      </x:c>
      <x:c r="P17" s="218" t="n">
        <x:f>ROUND(O17/$Q$2,0)</x:f>
        <x:v>53</x:v>
      </x:c>
      <x:c r="Q17" s="199"/>
    </x:row>
    <x:row r="18">
      <x:c r="A18" s="106" t="str">
        <x:v>ETL AP</x:v>
      </x:c>
      <x:c r="B18" s="12" t="str">
        <x:v>ODS/EDW/OLAP/CRM 등 Job 비율 tpmC 기준</x:v>
      </x:c>
      <x:c r="C18" s="199" t="n">
        <x:v>8926066</x:v>
      </x:c>
      <x:c r="D18" s="199" t="n">
        <x:v>2</x:v>
      </x:c>
      <x:c r="E18" s="231" t="n">
        <x:v>0.15</x:v>
      </x:c>
      <x:c r="F18" s="231" t="n">
        <x:v>0.6</x:v>
      </x:c>
      <x:c r="G18" s="231" t="n">
        <x:v>1</x:v>
      </x:c>
      <x:c r="H18" s="231" t="n">
        <x:v>1</x:v>
      </x:c>
      <x:c r="I18" s="231" t="n">
        <x:v>1.2</x:v>
      </x:c>
      <x:c r="J18" s="231" t="n">
        <x:v>1.1</x:v>
      </x:c>
      <x:c r="K18" s="231" t="n">
        <x:v>1.3</x:v>
      </x:c>
      <x:c r="L18" s="231" t="n">
        <x:v>1.5</x:v>
      </x:c>
      <x:c r="M18" s="231" t="n">
        <x:v>1.1</x:v>
      </x:c>
      <x:c r="N18" s="199" t="n">
        <x:v>0</x:v>
      </x:c>
      <x:c r="O18" s="207" t="n">
        <x:f>ROUND(ROUND(ROUND(ROUND(ROUND(ROUND(ROUND(ROUND(ROUND(ROUND(C18*D18,0)*E18,0)/F18,0)*G18,0)*H18,0)*I18,0)*J18,0)*K18,0)*L18,0)*M18,0)+N18</x:f>
        <x:v>12636633</x:v>
      </x:c>
      <x:c r="P18" s="218" t="n">
        <x:f>ROUND(O18/$Q$2,0)</x:f>
        <x:v>115</x:v>
      </x:c>
      <x:c r="Q18" s="199"/>
    </x:row>
    <x:row r="19">
      <x:c r="A19" s="106"/>
      <x:c r="B19" s="12"/>
      <x:c r="C19" s="199"/>
      <x:c r="D19" s="199"/>
      <x:c r="E19" s="231"/>
      <x:c r="F19" s="231"/>
      <x:c r="G19" s="231"/>
      <x:c r="H19" s="231"/>
      <x:c r="I19" s="231"/>
      <x:c r="J19" s="231"/>
      <x:c r="K19" s="231"/>
      <x:c r="L19" s="199"/>
      <x:c r="M19" s="199"/>
      <x:c r="N19" s="199"/>
      <x:c r="O19" s="199"/>
      <x:c r="P19" s="216"/>
      <x:c r="Q19" s="199"/>
    </x:row>
    <x:row r="20">
      <x:c r="A20" s="106"/>
      <x:c r="B20" s="12"/>
      <x:c r="C20" s="199"/>
      <x:c r="D20" s="199"/>
      <x:c r="E20" s="231"/>
      <x:c r="F20" s="231"/>
      <x:c r="G20" s="231"/>
      <x:c r="H20" s="231"/>
      <x:c r="I20" s="231"/>
      <x:c r="J20" s="231"/>
      <x:c r="K20" s="231"/>
      <x:c r="L20" s="199"/>
      <x:c r="M20" s="199"/>
      <x:c r="N20" s="199"/>
      <x:c r="O20" s="199"/>
      <x:c r="P20" s="216"/>
      <x:c r="Q20" s="199"/>
    </x:row>
    <x:row r="21">
      <x:c r="A21" s="183" t="str">
        <x:v>3. DB 서버 용량산정 산식</x:v>
      </x:c>
      <x:c r="B21" s="12"/>
      <x:c r="C21" s="199"/>
      <x:c r="D21" s="199"/>
      <x:c r="E21" s="231"/>
      <x:c r="F21" s="231"/>
      <x:c r="G21" s="231"/>
      <x:c r="H21" s="231"/>
      <x:c r="I21" s="231"/>
      <x:c r="J21" s="231"/>
      <x:c r="K21" s="231"/>
      <x:c r="L21" s="199"/>
      <x:c r="M21" s="199"/>
      <x:c r="N21" s="199"/>
      <x:c r="O21" s="199"/>
      <x:c r="P21" s="216"/>
      <x:c r="Q21" s="199"/>
    </x:row>
    <x:row r="22">
      <x:c r="A22" s="106"/>
      <x:c r="B22" s="12"/>
      <x:c r="C22" s="199"/>
      <x:c r="D22" s="199"/>
      <x:c r="E22" s="231"/>
      <x:c r="F22" s="231"/>
      <x:c r="G22" s="231"/>
      <x:c r="H22" s="231"/>
      <x:c r="I22" s="231"/>
      <x:c r="J22" s="231"/>
      <x:c r="K22" s="231"/>
      <x:c r="L22" s="199"/>
      <x:c r="M22" s="199"/>
      <x:c r="N22" s="199"/>
      <x:c r="O22" s="199"/>
      <x:c r="P22" s="216"/>
      <x:c r="Q22" s="199"/>
    </x:row>
    <x:row r="23">
      <x:c r="A23" s="150" t="str">
        <x:v>대상</x:v>
      </x:c>
      <x:c r="B23" s="135" t="str">
        <x:v>보정원인</x:v>
      </x:c>
      <x:c r="C23" s="201" t="str">
        <x:v>서버당 보유성능 tpmC</x:v>
      </x:c>
      <x:c r="D23" s="201" t="str">
        <x:v>구성수량</x:v>
      </x:c>
      <x:c r="E23" s="233" t="str">
        <x:v>CPU 사용률</x:v>
      </x:c>
      <x:c r="F23" s="233" t="str">
        <x:v>목표사용률</x:v>
      </x:c>
      <x:c r="G23" s="233" t="str">
        <x:v>DB 크기보정</x:v>
      </x:c>
      <x:c r="H23" s="233" t="str">
        <x:v>Java 가중치</x:v>
      </x:c>
      <x:c r="I23" s="233" t="str">
        <x:v>인터페이스 보정</x:v>
      </x:c>
      <x:c r="J23" s="233" t="str">
        <x:v>네트워크 보정</x:v>
      </x:c>
      <x:c r="K23" s="233" t="str">
        <x:v>클러스터 보정</x:v>
      </x:c>
      <x:c r="L23" s="201" t="str">
        <x:v>CDC 업무보정</x:v>
      </x:c>
      <x:c r="M23" s="201" t="str">
        <x:v>향후 시스템 증가율</x:v>
      </x:c>
      <x:c r="N23" s="201" t="str">
        <x:v>시스템 여유율</x:v>
      </x:c>
      <x:c r="O23" s="201" t="str">
        <x:v>tpmC 산정결과</x:v>
      </x:c>
      <x:c r="P23" s="217" t="str">
        <x:v>필요 Core</x:v>
      </x:c>
      <x:c r="Q23" s="199"/>
      <x:c r="R23" s="267" t="str">
        <x:v>구성결과</x:v>
      </x:c>
      <x:c r="S23" s="268" t="str">
        <x:v>CPU보정</x:v>
      </x:c>
      <x:c r="T23" s="268" t="str">
        <x:v>목표사용률</x:v>
      </x:c>
      <x:c r="U23" s="268" t="str">
        <x:v>DB크기</x:v>
      </x:c>
      <x:c r="V23" s="268" t="str">
        <x:v>Java</x:v>
      </x:c>
      <x:c r="W23" s="268" t="str">
        <x:v>인터페이스</x:v>
      </x:c>
      <x:c r="X23" s="268" t="str">
        <x:v>네트워크</x:v>
      </x:c>
      <x:c r="Y23" s="268" t="str">
        <x:v>클러스터</x:v>
      </x:c>
      <x:c r="Z23" s="268" t="str">
        <x:v>CDC</x:v>
      </x:c>
      <x:c r="AA23" s="268" t="str">
        <x:v>향후증가</x:v>
      </x:c>
      <x:c r="AB23" s="269" t="str">
        <x:v>여유율</x:v>
      </x:c>
    </x:row>
    <x:row r="24">
      <x:c r="A24" s="106" t="str">
        <x:v>RDW</x:v>
      </x:c>
      <x:c r="B24" s="12" t="str">
        <x:v>ADW 기준의 50%</x:v>
      </x:c>
      <x:c r="C24" s="199" t="n">
        <x:v>2997998</x:v>
      </x:c>
      <x:c r="D24" s="199" t="n">
        <x:v>1</x:v>
      </x:c>
      <x:c r="E24" s="231" t="n">
        <x:v>0.85</x:v>
      </x:c>
      <x:c r="F24" s="231" t="n">
        <x:v>0.6</x:v>
      </x:c>
      <x:c r="G24" s="231" t="n">
        <x:v>1.3</x:v>
      </x:c>
      <x:c r="H24" s="231" t="n">
        <x:v>1.1</x:v>
      </x:c>
      <x:c r="I24" s="231" t="n">
        <x:v>1.2</x:v>
      </x:c>
      <x:c r="J24" s="231" t="n">
        <x:v>1.3</x:v>
      </x:c>
      <x:c r="K24" s="231" t="n">
        <x:v>1.3</x:v>
      </x:c>
      <x:c r="L24" s="231" t="n">
        <x:v>1.2</x:v>
      </x:c>
      <x:c r="M24" s="231" t="n">
        <x:v>1.5</x:v>
      </x:c>
      <x:c r="N24" s="231" t="n">
        <x:v>1.1</x:v>
      </x:c>
      <x:c r="O24" s="207" t="n">
        <x:f>AB24</x:f>
        <x:v>24387550</x:v>
      </x:c>
      <x:c r="P24" s="218" t="n">
        <x:f>ROUND(O24/$Q$2,0)</x:f>
        <x:v>222</x:v>
      </x:c>
      <x:c r="Q24" s="199"/>
      <x:c r="R24" s="270" t="n">
        <x:f>ROUND(C24*D24,0)</x:f>
        <x:v>2997998</x:v>
      </x:c>
      <x:c r="S24" s="264" t="n">
        <x:f>ROUND(R24*E24,0)</x:f>
        <x:v>2548298</x:v>
      </x:c>
      <x:c r="T24" s="264" t="n">
        <x:f>ROUND(S24/F24,0)</x:f>
        <x:v>4247163</x:v>
      </x:c>
      <x:c r="U24" s="264" t="n">
        <x:f>ROUND(T24*G24,0)</x:f>
        <x:v>5521312</x:v>
      </x:c>
      <x:c r="V24" s="264" t="n">
        <x:f>ROUND(U24*H24,0)</x:f>
        <x:v>6073443</x:v>
      </x:c>
      <x:c r="W24" s="264" t="n">
        <x:f>ROUND(V24*I24,0)</x:f>
        <x:v>7288132</x:v>
      </x:c>
      <x:c r="X24" s="264" t="n">
        <x:f>ROUND(W24*J24,0)</x:f>
        <x:v>9474572</x:v>
      </x:c>
      <x:c r="Y24" s="264" t="n">
        <x:f>ROUND(X24*K24,0)</x:f>
        <x:v>12316944</x:v>
      </x:c>
      <x:c r="Z24" s="264" t="n">
        <x:f>ROUND(Y24*L24,0)</x:f>
        <x:v>14780333</x:v>
      </x:c>
      <x:c r="AA24" s="264" t="n">
        <x:f>ROUND(Z24*M24,0)</x:f>
        <x:v>22170500</x:v>
      </x:c>
      <x:c r="AB24" s="271" t="n">
        <x:f>ROUND(AA24*N24,0)</x:f>
        <x:v>24387550</x:v>
      </x:c>
    </x:row>
    <x:row r="25">
      <x:c r="A25" s="108" t="str">
        <x:v>ADW</x:v>
      </x:c>
      <x:c r="B25" s="185" t="str">
        <x:v>DW DB / ODS DB</x:v>
      </x:c>
      <x:c r="C25" s="202" t="n">
        <x:v>5995995</x:v>
      </x:c>
      <x:c r="D25" s="202" t="n">
        <x:v>1</x:v>
      </x:c>
      <x:c r="E25" s="234" t="n">
        <x:v>1</x:v>
      </x:c>
      <x:c r="F25" s="234" t="n">
        <x:v>0.6</x:v>
      </x:c>
      <x:c r="G25" s="234" t="n">
        <x:v>1.3</x:v>
      </x:c>
      <x:c r="H25" s="234" t="n">
        <x:v>1.1</x:v>
      </x:c>
      <x:c r="I25" s="234" t="n">
        <x:v>1.2</x:v>
      </x:c>
      <x:c r="J25" s="234" t="n">
        <x:v>1.3</x:v>
      </x:c>
      <x:c r="K25" s="234" t="n">
        <x:v>1.3</x:v>
      </x:c>
      <x:c r="L25" s="234" t="n">
        <x:v>1</x:v>
      </x:c>
      <x:c r="M25" s="234" t="n">
        <x:v>1.5</x:v>
      </x:c>
      <x:c r="N25" s="234" t="n">
        <x:v>1.1</x:v>
      </x:c>
      <x:c r="O25" s="211" t="n">
        <x:f>AB25</x:f>
        <x:v>47818722</x:v>
      </x:c>
      <x:c r="P25" s="219" t="n">
        <x:f>ROUND(O25/$Q$2,0)</x:f>
        <x:v>435</x:v>
      </x:c>
      <x:c r="Q25" s="199"/>
      <x:c r="R25" s="272" t="n">
        <x:f>ROUND(C25*D25,0)</x:f>
        <x:v>5995995</x:v>
      </x:c>
      <x:c r="S25" s="273" t="n">
        <x:f>ROUND(R25*E25,0)</x:f>
        <x:v>5995995</x:v>
      </x:c>
      <x:c r="T25" s="273" t="n">
        <x:f>ROUND(S25/F25,0)</x:f>
        <x:v>9993325</x:v>
      </x:c>
      <x:c r="U25" s="273" t="n">
        <x:f>ROUND(T25*G25,0)</x:f>
        <x:v>12991323</x:v>
      </x:c>
      <x:c r="V25" s="273" t="n">
        <x:f>ROUND(U25*H25,0)</x:f>
        <x:v>14290455</x:v>
      </x:c>
      <x:c r="W25" s="273" t="n">
        <x:f>ROUND(V25*I25,0)</x:f>
        <x:v>17148546</x:v>
      </x:c>
      <x:c r="X25" s="273" t="n">
        <x:f>ROUND(W25*J25,0)</x:f>
        <x:v>22293110</x:v>
      </x:c>
      <x:c r="Y25" s="273" t="n">
        <x:f>ROUND(X25*K25,0)</x:f>
        <x:v>28981043</x:v>
      </x:c>
      <x:c r="Z25" s="273" t="n">
        <x:f>ROUND(Y25*L25,0)</x:f>
        <x:v>28981043</x:v>
      </x:c>
      <x:c r="AA25" s="273" t="n">
        <x:f>ROUND(Z25*M25,0)</x:f>
        <x:v>43471565</x:v>
      </x:c>
      <x:c r="AB25" s="274" t="n">
        <x:f>ROUND(AA25*N25,0)</x:f>
        <x:v>47818722</x:v>
      </x:c>
    </x:row>
  </x:sheetData>
  <x:mergeCells>
    <x:mergeCell ref="A1:M1"/>
    <x:mergeCell ref="A10:P10"/>
    <x:mergeCell ref="A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2" hidden="0" customWidth="1"/>
    <x:col min="5" max="5" width="18" hidden="0" customWidth="1"/>
    <x:col min="7" max="7" width="8" hidden="0" customWidth="1"/>
    <x:col min="8" max="8" width="28" hidden="0" customWidth="1"/>
    <x:col min="9" max="9" width="18" hidden="0" customWidth="1"/>
    <x:col min="10" max="10" width="12" hidden="0" customWidth="1"/>
    <x:col min="11" max="11" width="18" hidden="0" customWidth="1"/>
  </x:cols>
  <x:sheetData>
    <x:row r="1">
      <x:c r="A1" s="253" t="str">
        <x:v>한국정보통신기술협회 정보시스템 하드웨어 규모산정 지침(2023) 참조 — 이미지 표기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254" t="str">
        <x:v>No</x:v>
      </x:c>
      <x:c r="B3" s="255" t="str">
        <x:v>항목</x:v>
      </x:c>
      <x:c r="C3" s="255" t="str">
        <x:v>보정범위</x:v>
      </x:c>
      <x:c r="D3" s="255" t="str">
        <x:v>보정치</x:v>
      </x:c>
      <x:c r="E3" s="256" t="str">
        <x:v>산정식</x:v>
      </x:c>
      <x:c r="F3" s="12"/>
      <x:c r="G3" s="257" t="str">
        <x:v>BI포털 WEB 서버</x:v>
      </x:c>
      <x:c r="H3" s="12"/>
      <x:c r="I3" s="12"/>
      <x:c r="J3" s="12"/>
      <x:c r="K3" s="12"/>
    </x:row>
    <x:row r="4">
      <x:c r="A4" s="106" t="n">
        <x:v>1</x:v>
      </x:c>
      <x:c r="B4" s="12" t="str">
        <x:v>목표 TPS</x:v>
      </x:c>
      <x:c r="C4" s="12" t="str"/>
      <x:c r="D4" s="12" t="str"/>
      <x:c r="E4" s="107" t="str"/>
      <x:c r="F4" s="12"/>
      <x:c r="G4" s="254" t="str">
        <x:v>No</x:v>
      </x:c>
      <x:c r="H4" s="255" t="str">
        <x:v>항목</x:v>
      </x:c>
      <x:c r="I4" s="255" t="str">
        <x:v>보정범위</x:v>
      </x:c>
      <x:c r="J4" s="255" t="str">
        <x:v>보정치</x:v>
      </x:c>
      <x:c r="K4" s="256" t="str">
        <x:v>산정식</x:v>
      </x:c>
    </x:row>
    <x:row r="5">
      <x:c r="A5" s="106" t="n">
        <x:v>2</x:v>
      </x:c>
      <x:c r="B5" s="12" t="str">
        <x:v>본당 처리건수 변환</x:v>
      </x:c>
      <x:c r="C5" s="12" t="str"/>
      <x:c r="D5" s="12" t="n">
        <x:v>60</x:v>
      </x:c>
      <x:c r="E5" s="107" t="str">
        <x:v>1) * 보정치</x:v>
      </x:c>
      <x:c r="F5" s="12"/>
      <x:c r="G5" s="106" t="n">
        <x:v>1</x:v>
      </x:c>
      <x:c r="H5" s="12" t="str">
        <x:v>전체 사용자수</x:v>
      </x:c>
      <x:c r="I5" s="12" t="str"/>
      <x:c r="J5" s="12" t="str"/>
      <x:c r="K5" s="107" t="str"/>
    </x:row>
    <x:row r="6">
      <x:c r="A6" s="106" t="n">
        <x:v>3</x:v>
      </x:c>
      <x:c r="B6" s="12" t="str">
        <x:v>tpmC 보정</x:v>
      </x:c>
      <x:c r="C6" s="12" t="str">
        <x:v>20%~30%</x:v>
      </x:c>
      <x:c r="D6" s="12" t="n">
        <x:v>1.2</x:v>
      </x:c>
      <x:c r="E6" s="107" t="str">
        <x:v>2) * 보정치</x:v>
      </x:c>
      <x:c r="F6" s="12"/>
      <x:c r="G6" s="106" t="n">
        <x:v>2</x:v>
      </x:c>
      <x:c r="H6" s="12" t="str">
        <x:v>동시 사용자수</x:v>
      </x:c>
      <x:c r="I6" s="12" t="str">
        <x:v>10%~30%</x:v>
      </x:c>
      <x:c r="J6" s="12" t="n">
        <x:v>0.1</x:v>
      </x:c>
      <x:c r="K6" s="107" t="str">
        <x:v>1) * 보정치</x:v>
      </x:c>
    </x:row>
    <x:row r="7">
      <x:c r="A7" s="106" t="n">
        <x:v>4</x:v>
      </x:c>
      <x:c r="B7" s="12" t="str">
        <x:v>Peak Time 보정</x:v>
      </x:c>
      <x:c r="C7" s="12" t="str">
        <x:v>20%~30%</x:v>
      </x:c>
      <x:c r="D7" s="12" t="n">
        <x:v>1.3</x:v>
      </x:c>
      <x:c r="E7" s="107" t="str">
        <x:v>3) * 보정치</x:v>
      </x:c>
      <x:c r="F7" s="12"/>
      <x:c r="G7" s="106" t="n">
        <x:v>3</x:v>
      </x:c>
      <x:c r="H7" s="12" t="str">
        <x:v>사용자당 오퍼레이션 수</x:v>
      </x:c>
      <x:c r="I7" s="12" t="str">
        <x:v>3~6</x:v>
      </x:c>
      <x:c r="J7" s="12" t="n">
        <x:v>3</x:v>
      </x:c>
      <x:c r="K7" s="107" t="str">
        <x:v>2) * 보정치</x:v>
      </x:c>
    </x:row>
    <x:row r="8">
      <x:c r="A8" s="106" t="n">
        <x:v>5</x:v>
      </x:c>
      <x:c r="B8" s="12" t="str">
        <x:v>목표 사용률</x:v>
      </x:c>
      <x:c r="C8" s="12" t="str">
        <x:v>60%</x:v>
      </x:c>
      <x:c r="D8" s="12" t="n">
        <x:v>0.6</x:v>
      </x:c>
      <x:c r="E8" s="107" t="str">
        <x:v>4) / 보정치</x:v>
      </x:c>
      <x:c r="F8" s="12"/>
      <x:c r="G8" s="106" t="n">
        <x:v>4</x:v>
      </x:c>
      <x:c r="H8" s="12" t="str">
        <x:v>인터페이스 부하 조정</x:v>
      </x:c>
      <x:c r="I8" s="12" t="str">
        <x:v>2%~30%</x:v>
      </x:c>
      <x:c r="J8" s="12" t="n">
        <x:v>1.1</x:v>
      </x:c>
      <x:c r="K8" s="107" t="str">
        <x:v>3) * 보정치</x:v>
      </x:c>
    </x:row>
    <x:row r="9">
      <x:c r="A9" s="106" t="n">
        <x:v>6</x:v>
      </x:c>
      <x:c r="B9" s="12" t="str">
        <x:v>향후 시스템 증가율</x:v>
      </x:c>
      <x:c r="C9" s="12" t="str">
        <x:v>50%</x:v>
      </x:c>
      <x:c r="D9" s="12" t="n">
        <x:v>1.5</x:v>
      </x:c>
      <x:c r="E9" s="107" t="str">
        <x:v>5) * 보정치</x:v>
      </x:c>
      <x:c r="F9" s="12"/>
      <x:c r="G9" s="106" t="n">
        <x:v>5</x:v>
      </x:c>
      <x:c r="H9" s="12" t="str">
        <x:v>피크타임 부하 조정</x:v>
      </x:c>
      <x:c r="I9" s="12" t="str">
        <x:v>20%~50%</x:v>
      </x:c>
      <x:c r="J9" s="12" t="n">
        <x:v>1.1</x:v>
      </x:c>
      <x:c r="K9" s="107" t="str">
        <x:v>4) * 보정치</x:v>
      </x:c>
    </x:row>
    <x:row r="10">
      <x:c r="A10" s="106" t="n">
        <x:v>7</x:v>
      </x:c>
      <x:c r="B10" s="12" t="str">
        <x:v>데이터베이스 크기 보정</x:v>
      </x:c>
      <x:c r="C10" s="12" t="str">
        <x:v>100%~1000%</x:v>
      </x:c>
      <x:c r="D10" s="12" t="n">
        <x:v>1</x:v>
      </x:c>
      <x:c r="E10" s="107" t="str">
        <x:v>6) * 보정치</x:v>
      </x:c>
      <x:c r="F10" s="12"/>
      <x:c r="G10" s="106" t="n">
        <x:v>6</x:v>
      </x:c>
      <x:c r="H10" s="12" t="str">
        <x:v>네트워크 부하 조정</x:v>
      </x:c>
      <x:c r="I10" s="12" t="str">
        <x:v>10%~100%</x:v>
      </x:c>
      <x:c r="J10" s="12" t="n">
        <x:v>1.1</x:v>
      </x:c>
      <x:c r="K10" s="107" t="str">
        <x:v>5) * 보정치</x:v>
      </x:c>
    </x:row>
    <x:row r="11">
      <x:c r="A11" s="106" t="n">
        <x:v>8</x:v>
      </x:c>
      <x:c r="B11" s="12" t="str">
        <x:v>어플리케이션 복잡성 보정</x:v>
      </x:c>
      <x:c r="C11" s="12" t="str">
        <x:v>60%~3500%</x:v>
      </x:c>
      <x:c r="D11" s="12" t="n">
        <x:v>1.6</x:v>
      </x:c>
      <x:c r="E11" s="107" t="str">
        <x:v>7) * 보정치</x:v>
      </x:c>
      <x:c r="F11" s="12"/>
      <x:c r="G11" s="106" t="n">
        <x:v>7</x:v>
      </x:c>
      <x:c r="H11" s="12" t="str">
        <x:v>시스템 여유율</x:v>
      </x:c>
      <x:c r="I11" s="12" t="str">
        <x:v>30%</x:v>
      </x:c>
      <x:c r="J11" s="12" t="n">
        <x:v>1.3</x:v>
      </x:c>
      <x:c r="K11" s="107" t="str">
        <x:v>6) * 보정치</x:v>
      </x:c>
    </x:row>
    <x:row r="12">
      <x:c r="A12" s="106" t="n">
        <x:v>9</x:v>
      </x:c>
      <x:c r="B12" s="12" t="str">
        <x:v>사용자 복잡성 보정</x:v>
      </x:c>
      <x:c r="C12" s="12" t="str">
        <x:v>100%~450%</x:v>
      </x:c>
      <x:c r="D12" s="12" t="n">
        <x:v>2</x:v>
      </x:c>
      <x:c r="E12" s="107" t="str">
        <x:v>8) * 보정치</x:v>
      </x:c>
      <x:c r="F12" s="12"/>
      <x:c r="G12" s="106" t="n">
        <x:v>8</x:v>
      </x:c>
      <x:c r="H12" s="12" t="str">
        <x:v>향후 시스템 증가율</x:v>
      </x:c>
      <x:c r="I12" s="12" t="str">
        <x:v>50%</x:v>
      </x:c>
      <x:c r="J12" s="12" t="n">
        <x:v>1.5</x:v>
      </x:c>
      <x:c r="K12" s="107" t="str">
        <x:v>7) * 보정치</x:v>
      </x:c>
    </x:row>
    <x:row r="13">
      <x:c r="A13" s="106" t="n">
        <x:v>10</x:v>
      </x:c>
      <x:c r="B13" s="12" t="str">
        <x:v>어플리케이션 구조 보정</x:v>
      </x:c>
      <x:c r="C13" s="12" t="str">
        <x:v>10%~50%</x:v>
      </x:c>
      <x:c r="D13" s="12" t="n">
        <x:v>1.1</x:v>
      </x:c>
      <x:c r="E13" s="107" t="str">
        <x:v>9) * 보정치</x:v>
      </x:c>
      <x:c r="F13" s="12"/>
      <x:c r="G13" s="106" t="n">
        <x:v>9</x:v>
      </x:c>
      <x:c r="H13" s="12" t="str">
        <x:v>tpmC 변환 보정</x:v>
      </x:c>
      <x:c r="I13" s="12" t="str"/>
      <x:c r="J13" s="12" t="n">
        <x:v>10</x:v>
      </x:c>
      <x:c r="K13" s="107" t="str">
        <x:v>8) * 보정치</x:v>
      </x:c>
    </x:row>
    <x:row r="14">
      <x:c r="A14" s="106" t="n">
        <x:v>11</x:v>
      </x:c>
      <x:c r="B14" s="12" t="str">
        <x:v>어플리케이션 부하 보정</x:v>
      </x:c>
      <x:c r="C14" s="12" t="str">
        <x:v>20%~220%</x:v>
      </x:c>
      <x:c r="D14" s="12" t="n">
        <x:v>1.8</x:v>
      </x:c>
      <x:c r="E14" s="107" t="str">
        <x:v>10) * 보정치</x:v>
      </x:c>
      <x:c r="F14" s="12"/>
      <x:c r="G14" s="106" t="n">
        <x:v>10</x:v>
      </x:c>
      <x:c r="H14" s="12" t="str">
        <x:v>tpmC 산정 결과</x:v>
      </x:c>
      <x:c r="I14" s="12" t="str"/>
      <x:c r="J14" s="12" t="n">
        <x:v>1</x:v>
      </x:c>
      <x:c r="K14" s="107" t="str">
        <x:v>9) * 보정치</x:v>
      </x:c>
    </x:row>
    <x:row r="15">
      <x:c r="A15" s="106" t="n">
        <x:v>12</x:v>
      </x:c>
      <x:c r="B15" s="12" t="str">
        <x:v>네트워크 부하 조정</x:v>
      </x:c>
      <x:c r="C15" s="12" t="str">
        <x:v>10%~100%</x:v>
      </x:c>
      <x:c r="D15" s="12" t="n">
        <x:v>1.1</x:v>
      </x:c>
      <x:c r="E15" s="107" t="str">
        <x:v>11) * 보정치</x:v>
      </x:c>
      <x:c r="F15" s="12"/>
      <x:c r="G15" s="106" t="n">
        <x:v>13</x:v>
      </x:c>
      <x:c r="H15" s="12" t="str">
        <x:v>필요 Core 수량</x:v>
      </x:c>
      <x:c r="I15" s="12" t="str"/>
      <x:c r="J15" s="12" t="n">
        <x:v>110000</x:v>
      </x:c>
      <x:c r="K15" s="107" t="str"/>
    </x:row>
    <x:row r="16">
      <x:c r="A16" s="106" t="n">
        <x:v>13</x:v>
      </x:c>
      <x:c r="B16" s="12" t="str">
        <x:v>클러스터 보정</x:v>
      </x:c>
      <x:c r="C16" s="12" t="str">
        <x:v>30%~200%</x:v>
      </x:c>
      <x:c r="D16" s="12" t="n">
        <x:v>2</x:v>
      </x:c>
      <x:c r="E16" s="107" t="str">
        <x:v>12) * 보정치</x:v>
      </x:c>
      <x:c r="F16" s="12"/>
      <x:c r="G16" s="108" t="n">
        <x:v>14</x:v>
      </x:c>
      <x:c r="H16" s="185" t="str">
        <x:v>최종 Core 수량</x:v>
      </x:c>
      <x:c r="I16" s="185" t="str"/>
      <x:c r="J16" s="185" t="n">
        <x:v>7</x:v>
      </x:c>
      <x:c r="K16" s="109" t="str"/>
    </x:row>
    <x:row r="17">
      <x:c r="A17" s="106" t="n">
        <x:v>14</x:v>
      </x:c>
      <x:c r="B17" s="12" t="str">
        <x:v>시스템 여유율</x:v>
      </x:c>
      <x:c r="C17" s="12" t="str">
        <x:v>30%</x:v>
      </x:c>
      <x:c r="D17" s="12" t="n">
        <x:v>1.3</x:v>
      </x:c>
      <x:c r="E17" s="107" t="str">
        <x:v>13) * 보정치</x:v>
      </x:c>
      <x:c r="F17" s="12"/>
      <x:c r="G17" s="12"/>
      <x:c r="H17" s="12"/>
      <x:c r="I17" s="12"/>
      <x:c r="J17" s="12"/>
      <x:c r="K17" s="12"/>
    </x:row>
    <x:row r="18">
      <x:c r="A18" s="108" t="n">
        <x:v>15</x:v>
      </x:c>
      <x:c r="B18" s="185" t="str">
        <x:v>tpmC 산정 결과</x:v>
      </x:c>
      <x:c r="C18" s="185" t="str"/>
      <x:c r="D18" s="185" t="str"/>
      <x:c r="E18" s="109" t="str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257" t="str">
        <x:v>BI포털 WAS 서버</x:v>
      </x:c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254" t="str">
        <x:v>No</x:v>
      </x:c>
      <x:c r="H20" s="255" t="str">
        <x:v>항목</x:v>
      </x:c>
      <x:c r="I20" s="255" t="str">
        <x:v>보정범위</x:v>
      </x:c>
      <x:c r="J20" s="255" t="str">
        <x:v>보정치</x:v>
      </x:c>
      <x:c r="K20" s="256" t="str">
        <x:v>산정식</x:v>
      </x:c>
    </x:row>
    <x:row r="21">
      <x:c r="A21" s="12"/>
      <x:c r="B21" s="12"/>
      <x:c r="C21" s="12"/>
      <x:c r="D21" s="12"/>
      <x:c r="E21" s="12"/>
      <x:c r="F21" s="12"/>
      <x:c r="G21" s="106" t="n">
        <x:v>1</x:v>
      </x:c>
      <x:c r="H21" s="12" t="str">
        <x:v>전체 사용자수</x:v>
      </x:c>
      <x:c r="I21" s="12" t="str"/>
      <x:c r="J21" s="12" t="str"/>
      <x:c r="K21" s="107" t="str"/>
    </x:row>
    <x:row r="22">
      <x:c r="A22" s="12"/>
      <x:c r="B22" s="12"/>
      <x:c r="C22" s="12"/>
      <x:c r="D22" s="12"/>
      <x:c r="E22" s="12"/>
      <x:c r="F22" s="12"/>
      <x:c r="G22" s="106" t="n">
        <x:v>2</x:v>
      </x:c>
      <x:c r="H22" s="12" t="str">
        <x:v>동시 사용자수</x:v>
      </x:c>
      <x:c r="I22" s="12" t="str">
        <x:v>10%~30%</x:v>
      </x:c>
      <x:c r="J22" s="12" t="n">
        <x:v>0.1</x:v>
      </x:c>
      <x:c r="K22" s="107" t="str">
        <x:v>1) * 보정치</x:v>
      </x:c>
    </x:row>
    <x:row r="23">
      <x:c r="A23" s="12"/>
      <x:c r="B23" s="12"/>
      <x:c r="C23" s="12"/>
      <x:c r="D23" s="12"/>
      <x:c r="E23" s="12"/>
      <x:c r="F23" s="12"/>
      <x:c r="G23" s="106" t="n">
        <x:v>3</x:v>
      </x:c>
      <x:c r="H23" s="12" t="str">
        <x:v>사용자당 오퍼레이션 수</x:v>
      </x:c>
      <x:c r="I23" s="12" t="str">
        <x:v>3~6</x:v>
      </x:c>
      <x:c r="J23" s="12" t="n">
        <x:v>3</x:v>
      </x:c>
      <x:c r="K23" s="107" t="str">
        <x:v>2) * 보정치</x:v>
      </x:c>
    </x:row>
    <x:row r="24">
      <x:c r="A24" s="12"/>
      <x:c r="B24" s="12"/>
      <x:c r="C24" s="12"/>
      <x:c r="D24" s="12"/>
      <x:c r="E24" s="12"/>
      <x:c r="F24" s="12"/>
      <x:c r="G24" s="106" t="n">
        <x:v>4</x:v>
      </x:c>
      <x:c r="H24" s="12" t="str">
        <x:v>인터페이스 부하 조정</x:v>
      </x:c>
      <x:c r="I24" s="12" t="str">
        <x:v>2%~30%</x:v>
      </x:c>
      <x:c r="J24" s="12" t="n">
        <x:v>1.1</x:v>
      </x:c>
      <x:c r="K24" s="107" t="str">
        <x:v>3) * 보정치</x:v>
      </x:c>
    </x:row>
    <x:row r="25">
      <x:c r="A25" s="12"/>
      <x:c r="B25" s="12"/>
      <x:c r="C25" s="12"/>
      <x:c r="D25" s="12"/>
      <x:c r="E25" s="12"/>
      <x:c r="F25" s="12"/>
      <x:c r="G25" s="106" t="n">
        <x:v>5</x:v>
      </x:c>
      <x:c r="H25" s="12" t="str">
        <x:v>피크타임 부하 조정</x:v>
      </x:c>
      <x:c r="I25" s="12" t="str">
        <x:v>20%~50%</x:v>
      </x:c>
      <x:c r="J25" s="12" t="n">
        <x:v>1.1</x:v>
      </x:c>
      <x:c r="K25" s="107" t="str">
        <x:v>4) * 보정치</x:v>
      </x:c>
    </x:row>
    <x:row r="26">
      <x:c r="A26" s="12"/>
      <x:c r="B26" s="12"/>
      <x:c r="C26" s="12"/>
      <x:c r="D26" s="12"/>
      <x:c r="E26" s="12"/>
      <x:c r="F26" s="12"/>
      <x:c r="G26" s="106" t="n">
        <x:v>6</x:v>
      </x:c>
      <x:c r="H26" s="12" t="str">
        <x:v>네트워크 부하 조정</x:v>
      </x:c>
      <x:c r="I26" s="12" t="str">
        <x:v>10%~100%</x:v>
      </x:c>
      <x:c r="J26" s="12" t="n">
        <x:v>1.1</x:v>
      </x:c>
      <x:c r="K26" s="107" t="str">
        <x:v>5) * 보정치</x:v>
      </x:c>
    </x:row>
    <x:row r="27">
      <x:c r="A27" s="12"/>
      <x:c r="B27" s="12"/>
      <x:c r="C27" s="12"/>
      <x:c r="D27" s="12"/>
      <x:c r="E27" s="12"/>
      <x:c r="F27" s="12"/>
      <x:c r="G27" s="106" t="n">
        <x:v>7</x:v>
      </x:c>
      <x:c r="H27" s="12" t="str">
        <x:v>클러스터 보정</x:v>
      </x:c>
      <x:c r="I27" s="12" t="str">
        <x:v>30%</x:v>
      </x:c>
      <x:c r="J27" s="12" t="n">
        <x:v>1.3</x:v>
      </x:c>
      <x:c r="K27" s="107" t="str">
        <x:v>6) * 보정치</x:v>
      </x:c>
    </x:row>
    <x:row r="28">
      <x:c r="A28" s="12"/>
      <x:c r="B28" s="12"/>
      <x:c r="C28" s="12"/>
      <x:c r="D28" s="12"/>
      <x:c r="E28" s="12"/>
      <x:c r="F28" s="12"/>
      <x:c r="G28" s="106" t="n">
        <x:v>8</x:v>
      </x:c>
      <x:c r="H28" s="12" t="str">
        <x:v>시스템 여유율</x:v>
      </x:c>
      <x:c r="I28" s="12" t="str">
        <x:v>30%</x:v>
      </x:c>
      <x:c r="J28" s="12" t="n">
        <x:v>1.3</x:v>
      </x:c>
      <x:c r="K28" s="107" t="str">
        <x:v>7) * 보정치</x:v>
      </x:c>
    </x:row>
    <x:row r="29">
      <x:c r="A29" s="12"/>
      <x:c r="B29" s="12"/>
      <x:c r="C29" s="12"/>
      <x:c r="D29" s="12"/>
      <x:c r="E29" s="12"/>
      <x:c r="F29" s="12"/>
      <x:c r="G29" s="106" t="n">
        <x:v>9</x:v>
      </x:c>
      <x:c r="H29" s="12" t="str">
        <x:v>시스템 형태 보정</x:v>
      </x:c>
      <x:c r="I29" s="12" t="str">
        <x:v>10%~50%</x:v>
      </x:c>
      <x:c r="J29" s="12" t="n">
        <x:v>1.5</x:v>
      </x:c>
      <x:c r="K29" s="107" t="str">
        <x:v>8) * 보정치</x:v>
      </x:c>
    </x:row>
    <x:row r="30">
      <x:c r="A30" s="12"/>
      <x:c r="B30" s="12"/>
      <x:c r="C30" s="12"/>
      <x:c r="D30" s="12"/>
      <x:c r="E30" s="12"/>
      <x:c r="F30" s="12"/>
      <x:c r="G30" s="106" t="n">
        <x:v>10</x:v>
      </x:c>
      <x:c r="H30" s="12" t="str">
        <x:v>향후 시스템 증가율</x:v>
      </x:c>
      <x:c r="I30" s="12" t="str">
        <x:v>50%</x:v>
      </x:c>
      <x:c r="J30" s="12" t="n">
        <x:v>1.5</x:v>
      </x:c>
      <x:c r="K30" s="107" t="str">
        <x:v>9) * 보정치</x:v>
      </x:c>
    </x:row>
    <x:row r="31">
      <x:c r="A31" s="12"/>
      <x:c r="B31" s="12"/>
      <x:c r="C31" s="12"/>
      <x:c r="D31" s="12"/>
      <x:c r="E31" s="12"/>
      <x:c r="F31" s="12"/>
      <x:c r="G31" s="108" t="n">
        <x:v>11</x:v>
      </x:c>
      <x:c r="H31" s="185" t="str">
        <x:v>tpmC 변환 보정</x:v>
      </x:c>
      <x:c r="I31" s="185" t="str"/>
      <x:c r="J31" s="185" t="n">
        <x:v>10</x:v>
      </x:c>
      <x:c r="K31" s="109" t="str">
        <x:v>10) * 보정치</x:v>
      </x:c>
    </x:row>
  </x:sheetData>
  <x:mergeCells>
    <x:mergeCell ref="A1:E1"/>
    <x:mergeCell ref="G3:K3"/>
    <x:mergeCell ref="G19:K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8" hidden="0" customWidth="1"/>
    <x:col min="4" max="4" width="36" hidden="0" customWidth="1"/>
  </x:cols>
  <x:sheetData>
    <x:row r="1">
      <x:c r="A1" s="254" t="str">
        <x:v>No</x:v>
      </x:c>
      <x:c r="B1" s="255" t="str">
        <x:v>원본 이미지</x:v>
      </x:c>
      <x:c r="C1" s="255" t="str">
        <x:v>주요 판독 범위</x:v>
      </x:c>
      <x:c r="D1" s="256" t="str">
        <x:v>워크북 반영 위치</x:v>
      </x:c>
    </x:row>
    <x:row r="2">
      <x:c r="A2" s="106" t="n">
        <x:v>1</x:v>
      </x:c>
      <x:c r="B2" s="12" t="str">
        <x:v>20260818_114540-시스템사양.jpg</x:v>
      </x:c>
      <x:c r="C2" s="12" t="str">
        <x:v>기본 서버목록 3개 블록</x:v>
      </x:c>
      <x:c r="D2" s="107" t="str">
        <x:v>서버목록_상세</x:v>
      </x:c>
    </x:row>
    <x:row r="3">
      <x:c r="A3" s="106" t="n">
        <x:v>2</x:v>
      </x:c>
      <x:c r="B3" s="12" t="str">
        <x:v>20260818_133006-시스템사양.jpg</x:v>
      </x:c>
      <x:c r="C3" s="12" t="str">
        <x:v>서버목록 원본행 9~49, 기준값 일부</x:v>
      </x:c>
      <x:c r="D3" s="107" t="str">
        <x:v>서버목록_상세 / 기준정보</x:v>
      </x:c>
    </x:row>
    <x:row r="4">
      <x:c r="A4" s="106" t="n">
        <x:v>3</x:v>
      </x:c>
      <x:c r="B4" s="12" t="str">
        <x:v>20260818_133043-시스템사양.jpg</x:v>
      </x:c>
      <x:c r="C4" s="12" t="str">
        <x:v>서버목록 원본행 48~88</x:v>
      </x:c>
      <x:c r="D4" s="107" t="str">
        <x:v>서버목록_상세</x:v>
      </x:c>
    </x:row>
    <x:row r="5">
      <x:c r="A5" s="106" t="n">
        <x:v>4</x:v>
      </x:c>
      <x:c r="B5" s="12" t="str">
        <x:v>20260818_133058-시스템사양.jpg</x:v>
      </x:c>
      <x:c r="C5" s="12" t="str">
        <x:v>서버목록 원본행 87~113, 메모리/Disk/tpmC 기준</x:v>
      </x:c>
      <x:c r="D5" s="107" t="str">
        <x:v>서버목록_상세 / 기준정보</x:v>
      </x:c>
    </x:row>
    <x:row r="6">
      <x:c r="A6" s="108" t="n">
        <x:v>5</x:v>
      </x:c>
      <x:c r="B6" s="185" t="str">
        <x:v>20260818_134955-시스템사양.jpg</x:v>
      </x:c>
      <x:c r="C6" s="185" t="str">
        <x:v>WEB/WAS/DB 용량산정, 보정계수</x:v>
      </x:c>
      <x:c r="D6" s="109" t="str">
        <x:v>용량산정 / 보정계수</x:v>
      </x:c>
    </x:row>
    <x:row r="7">
      <x:c r="A7" s="309" t="n">
        <x:v>6</x:v>
      </x:c>
      <x:c r="B7" s="384" t="str">
        <x:v>20260818_135530-파일시스템 목록.jpg</x:v>
      </x:c>
      <x:c r="C7" s="384" t="str">
        <x:v>파일시스템 목록 55~94행, 서버정보 + 파일시스템정보 구조</x:v>
      </x:c>
      <x:c r="D7" s="358" t="str">
        <x:v>파일시스템목록</x:v>
      </x:c>
    </x:row>
    <x:row r="8">
      <x:c r="A8" s="317" t="n">
        <x:v>7</x:v>
      </x:c>
      <x:c r="B8" s="318" t="str">
        <x:v>20260818_135720-ISP 용량산정 산식.jpg</x:v>
      </x:c>
      <x:c r="C8" s="318" t="str">
        <x:v>WEB/WAS/DB 용량산정 전체 산식 및 Disk 할당/사용</x:v>
      </x:c>
      <x:c r="D8" s="319" t="str">
        <x:v>ISP용량산정_원본재현</x:v>
      </x:c>
    </x:row>
    <x:row r="9">
      <x:c r="A9" s="320" t="n">
        <x:v>8</x:v>
      </x:c>
      <x:c r="B9" s="321" t="str">
        <x:v>20260818_135733-ISP 용량산정 산식.jpg</x:v>
      </x:c>
      <x:c r="C9" s="321" t="str">
        <x:v>WAS/DB 산식 확대 화면, 수치 재확인</x:v>
      </x:c>
      <x:c r="D9" s="322" t="str">
        <x:v>ISP용량산정_원본재현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8" hidden="0" customWidth="1"/>
    <x:col min="4" max="4" width="9" hidden="0" customWidth="1"/>
    <x:col min="5" max="5" width="9" hidden="0" customWidth="1"/>
    <x:col min="6" max="6" width="11" hidden="0" customWidth="1"/>
    <x:col min="7" max="7" width="11" hidden="0" customWidth="1"/>
    <x:col min="8" max="8" width="21" hidden="0" customWidth="1"/>
    <x:col min="9" max="9" width="18" hidden="0" customWidth="1"/>
    <x:col min="10" max="10" width="28" hidden="0" customWidth="1"/>
    <x:col min="11" max="11" width="10" hidden="0" customWidth="1"/>
    <x:col min="12" max="12" width="13" hidden="0" customWidth="1"/>
    <x:col min="13" max="13" width="14" hidden="0" customWidth="1"/>
    <x:col min="14" max="14" width="11" hidden="0" customWidth="1"/>
    <x:col min="15" max="15" width="16" hidden="0" customWidth="1"/>
    <x:col min="16" max="16" width="15" hidden="0" customWidth="1"/>
    <x:col min="17" max="17" width="11" hidden="0" customWidth="1"/>
    <x:col min="18" max="18" width="11" hidden="0" customWidth="1"/>
    <x:col min="19" max="19" width="11" hidden="0" customWidth="1"/>
    <x:col min="20" max="20" width="24" hidden="0" customWidth="1"/>
    <x:col min="21" max="21" width="24" hidden="0" customWidth="1"/>
  </x:cols>
  <x:sheetData>
    <x:row r="1" ht="26" customHeight="1">
      <x:c r="A1" s="309"/>
      <x:c r="B1" s="310" t="str">
        <x:v>서버정보</x:v>
      </x:c>
      <x:c r="C1" s="310"/>
      <x:c r="D1" s="310"/>
      <x:c r="E1" s="310"/>
      <x:c r="F1" s="310"/>
      <x:c r="G1" s="310"/>
      <x:c r="H1" s="310"/>
      <x:c r="I1" s="310"/>
      <x:c r="J1" s="310"/>
      <x:c r="K1" s="311" t="str">
        <x:v>파일시스템 정보</x:v>
      </x:c>
      <x:c r="L1" s="311"/>
      <x:c r="M1" s="311"/>
      <x:c r="N1" s="311"/>
      <x:c r="O1" s="311"/>
      <x:c r="P1" s="311"/>
      <x:c r="Q1" s="311"/>
      <x:c r="R1" s="311"/>
      <x:c r="S1" s="311"/>
      <x:c r="T1" s="311"/>
      <x:c r="U1" s="312" t="str">
        <x:v>비고</x:v>
      </x:c>
    </x:row>
    <x:row r="2" ht="26" customHeight="1">
      <x:c r="A2" s="313" t="str">
        <x:v>원본행</x:v>
      </x:c>
      <x:c r="B2" s="314" t="str">
        <x:v>운영구분</x:v>
      </x:c>
      <x:c r="C2" s="314" t="str">
        <x:v>센터</x:v>
      </x:c>
      <x:c r="D2" s="314" t="str">
        <x:v>제조사</x:v>
      </x:c>
      <x:c r="E2" s="314" t="str">
        <x:v>OS</x:v>
      </x:c>
      <x:c r="F2" s="314" t="str">
        <x:v>서버 Type</x:v>
      </x:c>
      <x:c r="G2" s="314" t="str">
        <x:v>도입구분</x:v>
      </x:c>
      <x:c r="H2" s="314" t="str">
        <x:v>시스템 그룹</x:v>
      </x:c>
      <x:c r="I2" s="314" t="str">
        <x:v>Hostname</x:v>
      </x:c>
      <x:c r="J2" s="314" t="str">
        <x:v>서버명(한글)</x:v>
      </x:c>
      <x:c r="K2" s="315" t="str">
        <x:v>Disk</x:v>
      </x:c>
      <x:c r="L2" s="315" t="str">
        <x:v>Disk 용량(GB)</x:v>
      </x:c>
      <x:c r="M2" s="315" t="str">
        <x:v>Volume Group</x:v>
      </x:c>
      <x:c r="N2" s="315" t="str">
        <x:v>신규/증설</x:v>
      </x:c>
      <x:c r="O2" s="315" t="str">
        <x:v>Logical Volume</x:v>
      </x:c>
      <x:c r="P2" s="315" t="str">
        <x:v>Mount Point</x:v>
      </x:c>
      <x:c r="Q2" s="315" t="str">
        <x:v>용량(GB)</x:v>
      </x:c>
      <x:c r="R2" s="315" t="str">
        <x:v>User</x:v>
      </x:c>
      <x:c r="S2" s="315" t="str">
        <x:v>Group</x:v>
      </x:c>
      <x:c r="T2" s="315" t="str">
        <x:v>설명</x:v>
      </x:c>
      <x:c r="U2" s="316" t="str">
        <x:v>비고</x:v>
      </x:c>
    </x:row>
    <x:row r="3">
      <x:c r="A3" s="317" t="n">
        <x:v>55</x:v>
      </x:c>
      <x:c r="B3" s="318" t="str">
        <x:v>운영</x:v>
      </x:c>
      <x:c r="C3" s="318" t="str">
        <x:v>의왕</x:v>
      </x:c>
      <x:c r="D3" s="318" t="str">
        <x:v>x86</x:v>
      </x:c>
      <x:c r="E3" s="318" t="str">
        <x:v>Linux</x:v>
      </x:c>
      <x:c r="F3" s="318" t="str">
        <x:v>IaaS</x:v>
      </x:c>
      <x:c r="G3" s="318" t="str">
        <x:v>신규</x:v>
      </x:c>
      <x:c r="H3" s="318" t="str">
        <x:v>마케팅플랫폼</x:v>
      </x:c>
      <x:c r="I3" s="318" t="str">
        <x:v>sbmpbdloap03</x:v>
      </x:c>
      <x:c r="J3" s="318" t="str">
        <x:v>고객 행동 데이터 AP #03</x:v>
      </x:c>
      <x:c r="K3" s="318" t="str"/>
      <x:c r="L3" s="318" t="str"/>
      <x:c r="M3" s="318" t="str"/>
      <x:c r="N3" s="318" t="str"/>
      <x:c r="O3" s="318" t="str"/>
      <x:c r="P3" s="318" t="str"/>
      <x:c r="Q3" s="318" t="str"/>
      <x:c r="R3" s="318" t="str"/>
      <x:c r="S3" s="318" t="str"/>
      <x:c r="T3" s="318" t="str"/>
      <x:c r="U3" s="319" t="str"/>
    </x:row>
    <x:row r="4">
      <x:c r="A4" s="317" t="n">
        <x:v>56</x:v>
      </x:c>
      <x:c r="B4" s="318" t="str">
        <x:v>운영</x:v>
      </x:c>
      <x:c r="C4" s="318" t="str">
        <x:v>의왕</x:v>
      </x:c>
      <x:c r="D4" s="318" t="str">
        <x:v>x86</x:v>
      </x:c>
      <x:c r="E4" s="318" t="str">
        <x:v>Linux</x:v>
      </x:c>
      <x:c r="F4" s="318" t="str">
        <x:v>IaaS</x:v>
      </x:c>
      <x:c r="G4" s="318" t="str">
        <x:v>신규</x:v>
      </x:c>
      <x:c r="H4" s="318" t="str">
        <x:v>신BI포탈시스템</x:v>
      </x:c>
      <x:c r="I4" s="318" t="str">
        <x:v>sbbiptlowb01</x:v>
      </x:c>
      <x:c r="J4" s="318" t="str">
        <x:v>BI 포탈 WEB #01</x:v>
      </x:c>
      <x:c r="K4" s="318" t="str"/>
      <x:c r="L4" s="318" t="str"/>
      <x:c r="M4" s="318" t="str"/>
      <x:c r="N4" s="318" t="str"/>
      <x:c r="O4" s="318" t="str"/>
      <x:c r="P4" s="318" t="str"/>
      <x:c r="Q4" s="318" t="str"/>
      <x:c r="R4" s="318" t="str"/>
      <x:c r="S4" s="318" t="str"/>
      <x:c r="T4" s="318" t="str"/>
      <x:c r="U4" s="319" t="str"/>
    </x:row>
    <x:row r="5">
      <x:c r="A5" s="317" t="n">
        <x:v>57</x:v>
      </x:c>
      <x:c r="B5" s="318" t="str">
        <x:v>운영</x:v>
      </x:c>
      <x:c r="C5" s="318" t="str">
        <x:v>의왕</x:v>
      </x:c>
      <x:c r="D5" s="318" t="str">
        <x:v>x86</x:v>
      </x:c>
      <x:c r="E5" s="318" t="str">
        <x:v>Linux</x:v>
      </x:c>
      <x:c r="F5" s="318" t="str">
        <x:v>IaaS</x:v>
      </x:c>
      <x:c r="G5" s="318" t="str">
        <x:v>신규</x:v>
      </x:c>
      <x:c r="H5" s="318" t="str">
        <x:v>신BI포탈시스템</x:v>
      </x:c>
      <x:c r="I5" s="318" t="str">
        <x:v>sbbiptlowb02</x:v>
      </x:c>
      <x:c r="J5" s="318" t="str">
        <x:v>BI 포탈 WEB #02</x:v>
      </x:c>
      <x:c r="K5" s="318" t="str"/>
      <x:c r="L5" s="318" t="str"/>
      <x:c r="M5" s="318" t="str"/>
      <x:c r="N5" s="318" t="str"/>
      <x:c r="O5" s="318" t="str"/>
      <x:c r="P5" s="318" t="str"/>
      <x:c r="Q5" s="318" t="str"/>
      <x:c r="R5" s="318" t="str"/>
      <x:c r="S5" s="318" t="str"/>
      <x:c r="T5" s="318" t="str"/>
      <x:c r="U5" s="319" t="str"/>
    </x:row>
    <x:row r="6">
      <x:c r="A6" s="317" t="n">
        <x:v>58</x:v>
      </x:c>
      <x:c r="B6" s="318" t="str">
        <x:v>운영</x:v>
      </x:c>
      <x:c r="C6" s="318" t="str">
        <x:v>의왕</x:v>
      </x:c>
      <x:c r="D6" s="318" t="str">
        <x:v>x86</x:v>
      </x:c>
      <x:c r="E6" s="318" t="str">
        <x:v>Linux</x:v>
      </x:c>
      <x:c r="F6" s="318" t="str">
        <x:v>IaaS</x:v>
      </x:c>
      <x:c r="G6" s="318" t="str">
        <x:v>신규</x:v>
      </x:c>
      <x:c r="H6" s="318" t="str">
        <x:v>신BI포탈시스템</x:v>
      </x:c>
      <x:c r="I6" s="318" t="str">
        <x:v>sbbiptlows01</x:v>
      </x:c>
      <x:c r="J6" s="318" t="str">
        <x:v>BI 포탈 WAS #01</x:v>
      </x:c>
      <x:c r="K6" s="318" t="str"/>
      <x:c r="L6" s="318" t="str"/>
      <x:c r="M6" s="318" t="str"/>
      <x:c r="N6" s="318" t="str"/>
      <x:c r="O6" s="318" t="str"/>
      <x:c r="P6" s="318" t="str"/>
      <x:c r="Q6" s="318" t="str"/>
      <x:c r="R6" s="318" t="str"/>
      <x:c r="S6" s="318" t="str"/>
      <x:c r="T6" s="318" t="str"/>
      <x:c r="U6" s="319" t="str"/>
    </x:row>
    <x:row r="7">
      <x:c r="A7" s="317" t="n">
        <x:v>59</x:v>
      </x:c>
      <x:c r="B7" s="318" t="str">
        <x:v>운영</x:v>
      </x:c>
      <x:c r="C7" s="318" t="str">
        <x:v>의왕</x:v>
      </x:c>
      <x:c r="D7" s="318" t="str">
        <x:v>x86</x:v>
      </x:c>
      <x:c r="E7" s="318" t="str">
        <x:v>Linux</x:v>
      </x:c>
      <x:c r="F7" s="318" t="str">
        <x:v>IaaS</x:v>
      </x:c>
      <x:c r="G7" s="318" t="str">
        <x:v>신규</x:v>
      </x:c>
      <x:c r="H7" s="318" t="str">
        <x:v>신BI포탈시스템</x:v>
      </x:c>
      <x:c r="I7" s="318" t="str">
        <x:v>sbbiptlows02</x:v>
      </x:c>
      <x:c r="J7" s="318" t="str">
        <x:v>BI 포탈 WAS #02</x:v>
      </x:c>
      <x:c r="K7" s="318" t="str"/>
      <x:c r="L7" s="318" t="str"/>
      <x:c r="M7" s="318" t="str"/>
      <x:c r="N7" s="318" t="str"/>
      <x:c r="O7" s="318" t="str"/>
      <x:c r="P7" s="318" t="str"/>
      <x:c r="Q7" s="318" t="str"/>
      <x:c r="R7" s="318" t="str"/>
      <x:c r="S7" s="318" t="str"/>
      <x:c r="T7" s="318" t="str"/>
      <x:c r="U7" s="319" t="str"/>
    </x:row>
    <x:row r="8">
      <x:c r="A8" s="317" t="n">
        <x:v>60</x:v>
      </x:c>
      <x:c r="B8" s="318" t="str">
        <x:v>운영</x:v>
      </x:c>
      <x:c r="C8" s="318" t="str">
        <x:v>의왕</x:v>
      </x:c>
      <x:c r="D8" s="318" t="str">
        <x:v>x86</x:v>
      </x:c>
      <x:c r="E8" s="318" t="str">
        <x:v>Linux</x:v>
      </x:c>
      <x:c r="F8" s="318" t="str">
        <x:v>IaaS</x:v>
      </x:c>
      <x:c r="G8" s="318" t="str">
        <x:v>신규</x:v>
      </x:c>
      <x:c r="H8" s="318" t="str">
        <x:v>신BI포탈시스템</x:v>
      </x:c>
      <x:c r="I8" s="318" t="str">
        <x:v>sbbicrlowb01</x:v>
      </x:c>
      <x:c r="J8" s="318" t="str">
        <x:v>신용 실적 WEB #01</x:v>
      </x:c>
      <x:c r="K8" s="318" t="str"/>
      <x:c r="L8" s="318" t="str"/>
      <x:c r="M8" s="318" t="str"/>
      <x:c r="N8" s="318" t="str"/>
      <x:c r="O8" s="318" t="str"/>
      <x:c r="P8" s="318" t="str"/>
      <x:c r="Q8" s="318" t="str"/>
      <x:c r="R8" s="318" t="str"/>
      <x:c r="S8" s="318" t="str"/>
      <x:c r="T8" s="318" t="str"/>
      <x:c r="U8" s="319" t="str"/>
    </x:row>
    <x:row r="9">
      <x:c r="A9" s="317" t="n">
        <x:v>61</x:v>
      </x:c>
      <x:c r="B9" s="318" t="str">
        <x:v>운영</x:v>
      </x:c>
      <x:c r="C9" s="318" t="str">
        <x:v>의왕</x:v>
      </x:c>
      <x:c r="D9" s="318" t="str">
        <x:v>x86</x:v>
      </x:c>
      <x:c r="E9" s="318" t="str">
        <x:v>Linux</x:v>
      </x:c>
      <x:c r="F9" s="318" t="str">
        <x:v>IaaS</x:v>
      </x:c>
      <x:c r="G9" s="318" t="str">
        <x:v>신규</x:v>
      </x:c>
      <x:c r="H9" s="318" t="str">
        <x:v>신BI포탈시스템</x:v>
      </x:c>
      <x:c r="I9" s="318" t="str">
        <x:v>sbbicrlowb02</x:v>
      </x:c>
      <x:c r="J9" s="318" t="str">
        <x:v>신용 실적 WEB #02</x:v>
      </x:c>
      <x:c r="K9" s="318" t="str"/>
      <x:c r="L9" s="318" t="str"/>
      <x:c r="M9" s="318" t="str"/>
      <x:c r="N9" s="318" t="str"/>
      <x:c r="O9" s="318" t="str"/>
      <x:c r="P9" s="318" t="str"/>
      <x:c r="Q9" s="318" t="str"/>
      <x:c r="R9" s="318" t="str"/>
      <x:c r="S9" s="318" t="str"/>
      <x:c r="T9" s="318" t="str"/>
      <x:c r="U9" s="319" t="str"/>
    </x:row>
    <x:row r="10">
      <x:c r="A10" s="317" t="n">
        <x:v>62</x:v>
      </x:c>
      <x:c r="B10" s="318" t="str">
        <x:v>운영</x:v>
      </x:c>
      <x:c r="C10" s="318" t="str">
        <x:v>의왕</x:v>
      </x:c>
      <x:c r="D10" s="318" t="str">
        <x:v>x86</x:v>
      </x:c>
      <x:c r="E10" s="318" t="str">
        <x:v>Linux</x:v>
      </x:c>
      <x:c r="F10" s="318" t="str">
        <x:v>IaaS</x:v>
      </x:c>
      <x:c r="G10" s="318" t="str">
        <x:v>신규</x:v>
      </x:c>
      <x:c r="H10" s="318" t="str">
        <x:v>신BI포탈시스템</x:v>
      </x:c>
      <x:c r="I10" s="318" t="str">
        <x:v>sbbicrlows01</x:v>
      </x:c>
      <x:c r="J10" s="318" t="str">
        <x:v>신용 실적 WAS #01</x:v>
      </x:c>
      <x:c r="K10" s="318" t="str"/>
      <x:c r="L10" s="318" t="str"/>
      <x:c r="M10" s="318" t="str"/>
      <x:c r="N10" s="318" t="str"/>
      <x:c r="O10" s="318" t="str"/>
      <x:c r="P10" s="318" t="str"/>
      <x:c r="Q10" s="318" t="str"/>
      <x:c r="R10" s="318" t="str"/>
      <x:c r="S10" s="318" t="str"/>
      <x:c r="T10" s="318" t="str"/>
      <x:c r="U10" s="319" t="str"/>
    </x:row>
    <x:row r="11">
      <x:c r="A11" s="317" t="n">
        <x:v>63</x:v>
      </x:c>
      <x:c r="B11" s="318" t="str">
        <x:v>운영</x:v>
      </x:c>
      <x:c r="C11" s="318" t="str">
        <x:v>의왕</x:v>
      </x:c>
      <x:c r="D11" s="318" t="str">
        <x:v>x86</x:v>
      </x:c>
      <x:c r="E11" s="318" t="str">
        <x:v>Linux</x:v>
      </x:c>
      <x:c r="F11" s="318" t="str">
        <x:v>IaaS</x:v>
      </x:c>
      <x:c r="G11" s="318" t="str">
        <x:v>신규</x:v>
      </x:c>
      <x:c r="H11" s="318" t="str">
        <x:v>신BI포탈시스템</x:v>
      </x:c>
      <x:c r="I11" s="318" t="str">
        <x:v>sbbicrlows02</x:v>
      </x:c>
      <x:c r="J11" s="318" t="str">
        <x:v>신용 실적 WAS #02</x:v>
      </x:c>
      <x:c r="K11" s="318" t="str"/>
      <x:c r="L11" s="318" t="str"/>
      <x:c r="M11" s="318" t="str"/>
      <x:c r="N11" s="318" t="str"/>
      <x:c r="O11" s="318" t="str"/>
      <x:c r="P11" s="318" t="str"/>
      <x:c r="Q11" s="318" t="str"/>
      <x:c r="R11" s="318" t="str"/>
      <x:c r="S11" s="318" t="str"/>
      <x:c r="T11" s="318" t="str"/>
      <x:c r="U11" s="319" t="str"/>
    </x:row>
    <x:row r="12">
      <x:c r="A12" s="317" t="n">
        <x:v>64</x:v>
      </x:c>
      <x:c r="B12" s="318" t="str">
        <x:v>운영</x:v>
      </x:c>
      <x:c r="C12" s="318" t="str">
        <x:v>의왕</x:v>
      </x:c>
      <x:c r="D12" s="318" t="str">
        <x:v>x86</x:v>
      </x:c>
      <x:c r="E12" s="318" t="str">
        <x:v>Linux</x:v>
      </x:c>
      <x:c r="F12" s="318" t="str">
        <x:v>IaaS</x:v>
      </x:c>
      <x:c r="G12" s="318" t="str">
        <x:v>삭제</x:v>
      </x:c>
      <x:c r="H12" s="318" t="str">
        <x:v>신BI포탈시스템</x:v>
      </x:c>
      <x:c r="I12" s="318" t="str">
        <x:v>sbbioalows01</x:v>
      </x:c>
      <x:c r="J12" s="318" t="str">
        <x:v>OLAP WEB/WAS #01</x:v>
      </x:c>
      <x:c r="K12" s="318" t="str"/>
      <x:c r="L12" s="318" t="str"/>
      <x:c r="M12" s="318" t="str"/>
      <x:c r="N12" s="318" t="str"/>
      <x:c r="O12" s="318" t="str"/>
      <x:c r="P12" s="318" t="str"/>
      <x:c r="Q12" s="318" t="str"/>
      <x:c r="R12" s="318" t="str"/>
      <x:c r="S12" s="318" t="str"/>
      <x:c r="T12" s="318" t="str"/>
      <x:c r="U12" s="319" t="str"/>
    </x:row>
    <x:row r="13">
      <x:c r="A13" s="317" t="n">
        <x:v>65</x:v>
      </x:c>
      <x:c r="B13" s="318" t="str">
        <x:v>운영</x:v>
      </x:c>
      <x:c r="C13" s="318" t="str">
        <x:v>의왕</x:v>
      </x:c>
      <x:c r="D13" s="318" t="str">
        <x:v>x86</x:v>
      </x:c>
      <x:c r="E13" s="318" t="str">
        <x:v>Linux</x:v>
      </x:c>
      <x:c r="F13" s="318" t="str">
        <x:v>IaaS</x:v>
      </x:c>
      <x:c r="G13" s="318" t="str">
        <x:v>삭제</x:v>
      </x:c>
      <x:c r="H13" s="318" t="str">
        <x:v>신BI포탈시스템</x:v>
      </x:c>
      <x:c r="I13" s="318" t="str">
        <x:v>sbbioalows02</x:v>
      </x:c>
      <x:c r="J13" s="318" t="str">
        <x:v>OLAP WEB/WAS #02</x:v>
      </x:c>
      <x:c r="K13" s="318" t="str"/>
      <x:c r="L13" s="318" t="str"/>
      <x:c r="M13" s="318" t="str"/>
      <x:c r="N13" s="318" t="str"/>
      <x:c r="O13" s="318" t="str"/>
      <x:c r="P13" s="318" t="str"/>
      <x:c r="Q13" s="318" t="str"/>
      <x:c r="R13" s="318" t="str"/>
      <x:c r="S13" s="318" t="str"/>
      <x:c r="T13" s="318" t="str"/>
      <x:c r="U13" s="319" t="str"/>
    </x:row>
    <x:row r="14">
      <x:c r="A14" s="317" t="n">
        <x:v>66</x:v>
      </x:c>
      <x:c r="B14" s="318" t="str">
        <x:v>운영</x:v>
      </x:c>
      <x:c r="C14" s="318" t="str">
        <x:v>의왕</x:v>
      </x:c>
      <x:c r="D14" s="318" t="str">
        <x:v>x86</x:v>
      </x:c>
      <x:c r="E14" s="318" t="str">
        <x:v>Linux</x:v>
      </x:c>
      <x:c r="F14" s="318" t="str">
        <x:v>IaaS</x:v>
      </x:c>
      <x:c r="G14" s="318" t="str">
        <x:v>삭제</x:v>
      </x:c>
      <x:c r="H14" s="318" t="str">
        <x:v>신BI포탈시스템</x:v>
      </x:c>
      <x:c r="I14" s="318" t="str">
        <x:v>sbbioaloap01</x:v>
      </x:c>
      <x:c r="J14" s="318" t="str">
        <x:v>OLAP AP #01</x:v>
      </x:c>
      <x:c r="K14" s="318" t="str"/>
      <x:c r="L14" s="318" t="str"/>
      <x:c r="M14" s="318" t="str"/>
      <x:c r="N14" s="318" t="str"/>
      <x:c r="O14" s="318" t="str"/>
      <x:c r="P14" s="318" t="str"/>
      <x:c r="Q14" s="318" t="str"/>
      <x:c r="R14" s="318" t="str"/>
      <x:c r="S14" s="318" t="str"/>
      <x:c r="T14" s="318" t="str"/>
      <x:c r="U14" s="319" t="str"/>
    </x:row>
    <x:row r="15">
      <x:c r="A15" s="317" t="n">
        <x:v>67</x:v>
      </x:c>
      <x:c r="B15" s="318" t="str">
        <x:v>운영</x:v>
      </x:c>
      <x:c r="C15" s="318" t="str">
        <x:v>의왕</x:v>
      </x:c>
      <x:c r="D15" s="318" t="str">
        <x:v>x86</x:v>
      </x:c>
      <x:c r="E15" s="318" t="str">
        <x:v>Linux</x:v>
      </x:c>
      <x:c r="F15" s="318" t="str">
        <x:v>IaaS</x:v>
      </x:c>
      <x:c r="G15" s="318" t="str">
        <x:v>삭제</x:v>
      </x:c>
      <x:c r="H15" s="318" t="str">
        <x:v>신BI포탈시스템</x:v>
      </x:c>
      <x:c r="I15" s="318" t="str">
        <x:v>sbbioaloap02</x:v>
      </x:c>
      <x:c r="J15" s="318" t="str">
        <x:v>OLAP AP #02</x:v>
      </x:c>
      <x:c r="K15" s="318" t="str"/>
      <x:c r="L15" s="318" t="str"/>
      <x:c r="M15" s="318" t="str"/>
      <x:c r="N15" s="318" t="str"/>
      <x:c r="O15" s="318" t="str"/>
      <x:c r="P15" s="318" t="str"/>
      <x:c r="Q15" s="318" t="str"/>
      <x:c r="R15" s="318" t="str"/>
      <x:c r="S15" s="318" t="str"/>
      <x:c r="T15" s="318" t="str"/>
      <x:c r="U15" s="319" t="str"/>
    </x:row>
    <x:row r="16">
      <x:c r="A16" s="317" t="n">
        <x:v>68</x:v>
      </x:c>
      <x:c r="B16" s="318" t="str">
        <x:v>운영</x:v>
      </x:c>
      <x:c r="C16" s="318" t="str">
        <x:v>의왕</x:v>
      </x:c>
      <x:c r="D16" s="318" t="str">
        <x:v>x86</x:v>
      </x:c>
      <x:c r="E16" s="318" t="str">
        <x:v>Linux</x:v>
      </x:c>
      <x:c r="F16" s="318" t="str">
        <x:v>IaaS</x:v>
      </x:c>
      <x:c r="G16" s="318" t="str">
        <x:v>신규</x:v>
      </x:c>
      <x:c r="H16" s="318" t="str">
        <x:v>신BI포탈시스템</x:v>
      </x:c>
      <x:c r="I16" s="318" t="str">
        <x:v>sbbisblowb01</x:v>
      </x:c>
      <x:c r="J16" s="318" t="str">
        <x:v>Self-BI WEB #01</x:v>
      </x:c>
      <x:c r="K16" s="318" t="str"/>
      <x:c r="L16" s="318" t="str"/>
      <x:c r="M16" s="318" t="str"/>
      <x:c r="N16" s="318" t="str"/>
      <x:c r="O16" s="318" t="str"/>
      <x:c r="P16" s="318" t="str"/>
      <x:c r="Q16" s="318" t="str"/>
      <x:c r="R16" s="318" t="str"/>
      <x:c r="S16" s="318" t="str"/>
      <x:c r="T16" s="318" t="str"/>
      <x:c r="U16" s="319" t="str"/>
    </x:row>
    <x:row r="17">
      <x:c r="A17" s="317" t="n">
        <x:v>69</x:v>
      </x:c>
      <x:c r="B17" s="318" t="str">
        <x:v>운영</x:v>
      </x:c>
      <x:c r="C17" s="318" t="str">
        <x:v>의왕</x:v>
      </x:c>
      <x:c r="D17" s="318" t="str">
        <x:v>x86</x:v>
      </x:c>
      <x:c r="E17" s="318" t="str">
        <x:v>Linux</x:v>
      </x:c>
      <x:c r="F17" s="318" t="str">
        <x:v>IaaS</x:v>
      </x:c>
      <x:c r="G17" s="318" t="str">
        <x:v>신규</x:v>
      </x:c>
      <x:c r="H17" s="318" t="str">
        <x:v>신BI포탈시스템</x:v>
      </x:c>
      <x:c r="I17" s="318" t="str">
        <x:v>sbbisblowb02</x:v>
      </x:c>
      <x:c r="J17" s="318" t="str">
        <x:v>Self-BI WEB #02</x:v>
      </x:c>
      <x:c r="K17" s="318" t="str"/>
      <x:c r="L17" s="318" t="str"/>
      <x:c r="M17" s="318" t="str"/>
      <x:c r="N17" s="318" t="str"/>
      <x:c r="O17" s="318" t="str"/>
      <x:c r="P17" s="318" t="str"/>
      <x:c r="Q17" s="318" t="str"/>
      <x:c r="R17" s="318" t="str"/>
      <x:c r="S17" s="318" t="str"/>
      <x:c r="T17" s="318" t="str"/>
      <x:c r="U17" s="319" t="str"/>
    </x:row>
    <x:row r="18">
      <x:c r="A18" s="317" t="n">
        <x:v>70</x:v>
      </x:c>
      <x:c r="B18" s="318" t="str">
        <x:v>운영</x:v>
      </x:c>
      <x:c r="C18" s="318" t="str">
        <x:v>의왕</x:v>
      </x:c>
      <x:c r="D18" s="318" t="str">
        <x:v>x86</x:v>
      </x:c>
      <x:c r="E18" s="318" t="str">
        <x:v>Linux</x:v>
      </x:c>
      <x:c r="F18" s="318" t="str">
        <x:v>IaaS</x:v>
      </x:c>
      <x:c r="G18" s="318" t="str">
        <x:v>신규</x:v>
      </x:c>
      <x:c r="H18" s="318" t="str">
        <x:v>신BI포탈시스템</x:v>
      </x:c>
      <x:c r="I18" s="318" t="str">
        <x:v>sbbisblows01</x:v>
      </x:c>
      <x:c r="J18" s="318" t="str">
        <x:v>Self-BI WAS #01</x:v>
      </x:c>
      <x:c r="K18" s="318" t="str"/>
      <x:c r="L18" s="318" t="str"/>
      <x:c r="M18" s="318" t="str"/>
      <x:c r="N18" s="318" t="str"/>
      <x:c r="O18" s="318" t="str"/>
      <x:c r="P18" s="318" t="str"/>
      <x:c r="Q18" s="318" t="str"/>
      <x:c r="R18" s="318" t="str"/>
      <x:c r="S18" s="318" t="str"/>
      <x:c r="T18" s="318" t="str"/>
      <x:c r="U18" s="319" t="str"/>
    </x:row>
    <x:row r="19">
      <x:c r="A19" s="317" t="n">
        <x:v>71</x:v>
      </x:c>
      <x:c r="B19" s="318" t="str">
        <x:v>운영</x:v>
      </x:c>
      <x:c r="C19" s="318" t="str">
        <x:v>의왕</x:v>
      </x:c>
      <x:c r="D19" s="318" t="str">
        <x:v>x86</x:v>
      </x:c>
      <x:c r="E19" s="318" t="str">
        <x:v>Linux</x:v>
      </x:c>
      <x:c r="F19" s="318" t="str">
        <x:v>IaaS</x:v>
      </x:c>
      <x:c r="G19" s="318" t="str">
        <x:v>신규</x:v>
      </x:c>
      <x:c r="H19" s="318" t="str">
        <x:v>신BI포탈시스템</x:v>
      </x:c>
      <x:c r="I19" s="318" t="str">
        <x:v>sbbisblows02</x:v>
      </x:c>
      <x:c r="J19" s="318" t="str">
        <x:v>Self-BI WAS #02</x:v>
      </x:c>
      <x:c r="K19" s="318" t="str"/>
      <x:c r="L19" s="318" t="str"/>
      <x:c r="M19" s="318" t="str"/>
      <x:c r="N19" s="318" t="str"/>
      <x:c r="O19" s="318" t="str"/>
      <x:c r="P19" s="318" t="str"/>
      <x:c r="Q19" s="318" t="str"/>
      <x:c r="R19" s="318" t="str"/>
      <x:c r="S19" s="318" t="str"/>
      <x:c r="T19" s="318" t="str"/>
      <x:c r="U19" s="319" t="str"/>
    </x:row>
    <x:row r="20">
      <x:c r="A20" s="317" t="n">
        <x:v>72</x:v>
      </x:c>
      <x:c r="B20" s="318" t="str">
        <x:v>운영</x:v>
      </x:c>
      <x:c r="C20" s="318" t="str">
        <x:v>의왕</x:v>
      </x:c>
      <x:c r="D20" s="318" t="str">
        <x:v>x86</x:v>
      </x:c>
      <x:c r="E20" s="318" t="str">
        <x:v>Linux</x:v>
      </x:c>
      <x:c r="F20" s="318" t="str">
        <x:v>IaaS</x:v>
      </x:c>
      <x:c r="G20" s="318" t="str">
        <x:v>신규</x:v>
      </x:c>
      <x:c r="H20" s="318" t="str">
        <x:v>신BI포탈시스템</x:v>
      </x:c>
      <x:c r="I20" s="318" t="str">
        <x:v>sbbisbloap01</x:v>
      </x:c>
      <x:c r="J20" s="318" t="str">
        <x:v>Self-BI AP #01</x:v>
      </x:c>
      <x:c r="K20" s="318" t="str"/>
      <x:c r="L20" s="318" t="str"/>
      <x:c r="M20" s="318" t="str"/>
      <x:c r="N20" s="318" t="str"/>
      <x:c r="O20" s="318" t="str"/>
      <x:c r="P20" s="318" t="str"/>
      <x:c r="Q20" s="318" t="str"/>
      <x:c r="R20" s="318" t="str"/>
      <x:c r="S20" s="318" t="str"/>
      <x:c r="T20" s="318" t="str"/>
      <x:c r="U20" s="319" t="str"/>
    </x:row>
    <x:row r="21">
      <x:c r="A21" s="317" t="n">
        <x:v>73</x:v>
      </x:c>
      <x:c r="B21" s="318" t="str">
        <x:v>운영</x:v>
      </x:c>
      <x:c r="C21" s="318" t="str">
        <x:v>의왕</x:v>
      </x:c>
      <x:c r="D21" s="318" t="str">
        <x:v>x86</x:v>
      </x:c>
      <x:c r="E21" s="318" t="str">
        <x:v>Linux</x:v>
      </x:c>
      <x:c r="F21" s="318" t="str">
        <x:v>IaaS</x:v>
      </x:c>
      <x:c r="G21" s="318" t="str">
        <x:v>신규</x:v>
      </x:c>
      <x:c r="H21" s="318" t="str">
        <x:v>데이터거버넌스</x:v>
      </x:c>
      <x:c r="I21" s="318" t="str">
        <x:v>sbdgdqlows01</x:v>
      </x:c>
      <x:c r="J21" s="318" t="str">
        <x:v>비즈메타/데이터품질 WAS #01</x:v>
      </x:c>
      <x:c r="K21" s="318" t="str"/>
      <x:c r="L21" s="318" t="str"/>
      <x:c r="M21" s="318" t="str"/>
      <x:c r="N21" s="318" t="str"/>
      <x:c r="O21" s="318" t="str"/>
      <x:c r="P21" s="318" t="str"/>
      <x:c r="Q21" s="318" t="str"/>
      <x:c r="R21" s="318" t="str"/>
      <x:c r="S21" s="318" t="str"/>
      <x:c r="T21" s="318" t="str"/>
      <x:c r="U21" s="319" t="str"/>
    </x:row>
    <x:row r="22">
      <x:c r="A22" s="317" t="n">
        <x:v>74</x:v>
      </x:c>
      <x:c r="B22" s="318" t="str">
        <x:v>운영</x:v>
      </x:c>
      <x:c r="C22" s="318" t="str">
        <x:v>의왕</x:v>
      </x:c>
      <x:c r="D22" s="318" t="str">
        <x:v>x86</x:v>
      </x:c>
      <x:c r="E22" s="318" t="str">
        <x:v>Linux</x:v>
      </x:c>
      <x:c r="F22" s="318" t="str">
        <x:v>IaaS</x:v>
      </x:c>
      <x:c r="G22" s="318" t="str">
        <x:v>신규</x:v>
      </x:c>
      <x:c r="H22" s="318" t="str">
        <x:v>데이터거버넌스</x:v>
      </x:c>
      <x:c r="I22" s="318" t="str">
        <x:v>sbdgdqlows02</x:v>
      </x:c>
      <x:c r="J22" s="318" t="str">
        <x:v>비즈메타/데이터품질 WAS #02</x:v>
      </x:c>
      <x:c r="K22" s="318" t="str"/>
      <x:c r="L22" s="318" t="str"/>
      <x:c r="M22" s="318" t="str"/>
      <x:c r="N22" s="318" t="str"/>
      <x:c r="O22" s="318" t="str"/>
      <x:c r="P22" s="318" t="str"/>
      <x:c r="Q22" s="318" t="str"/>
      <x:c r="R22" s="318" t="str"/>
      <x:c r="S22" s="318" t="str"/>
      <x:c r="T22" s="318" t="str"/>
      <x:c r="U22" s="319" t="str"/>
    </x:row>
    <x:row r="23">
      <x:c r="A23" s="317" t="n">
        <x:v>75</x:v>
      </x:c>
      <x:c r="B23" s="318" t="str">
        <x:v>운영</x:v>
      </x:c>
      <x:c r="C23" s="318" t="str">
        <x:v>의왕</x:v>
      </x:c>
      <x:c r="D23" s="318" t="str">
        <x:v>x86</x:v>
      </x:c>
      <x:c r="E23" s="318" t="str">
        <x:v>Linux</x:v>
      </x:c>
      <x:c r="F23" s="318" t="str">
        <x:v>IaaS</x:v>
      </x:c>
      <x:c r="G23" s="318" t="str">
        <x:v>신규</x:v>
      </x:c>
      <x:c r="H23" s="318" t="str">
        <x:v>데이터거버넌스</x:v>
      </x:c>
      <x:c r="I23" s="318" t="str">
        <x:v>sbdgdllows01</x:v>
      </x:c>
      <x:c r="J23" s="318" t="str">
        <x:v>데이터흐름 WAS #01</x:v>
      </x:c>
      <x:c r="K23" s="318" t="str"/>
      <x:c r="L23" s="318" t="str"/>
      <x:c r="M23" s="318" t="str"/>
      <x:c r="N23" s="318" t="str"/>
      <x:c r="O23" s="318" t="str"/>
      <x:c r="P23" s="318" t="str"/>
      <x:c r="Q23" s="318" t="str"/>
      <x:c r="R23" s="318" t="str"/>
      <x:c r="S23" s="318" t="str"/>
      <x:c r="T23" s="318" t="str"/>
      <x:c r="U23" s="319" t="str"/>
    </x:row>
    <x:row r="24">
      <x:c r="A24" s="317" t="n">
        <x:v>76</x:v>
      </x:c>
      <x:c r="B24" s="318" t="str">
        <x:v>운영</x:v>
      </x:c>
      <x:c r="C24" s="318" t="str">
        <x:v>의왕</x:v>
      </x:c>
      <x:c r="D24" s="318" t="str">
        <x:v>x86</x:v>
      </x:c>
      <x:c r="E24" s="318" t="str">
        <x:v>Linux</x:v>
      </x:c>
      <x:c r="F24" s="318" t="str">
        <x:v>IaaS</x:v>
      </x:c>
      <x:c r="G24" s="318" t="str">
        <x:v>삭제검토</x:v>
      </x:c>
      <x:c r="H24" s="318" t="str">
        <x:v>데이터거버넌스</x:v>
      </x:c>
      <x:c r="I24" s="318" t="str">
        <x:v>sbdgdllows02</x:v>
      </x:c>
      <x:c r="J24" s="318" t="str">
        <x:v>데이터흐름 WAS #02</x:v>
      </x:c>
      <x:c r="K24" s="318" t="str"/>
      <x:c r="L24" s="318" t="str"/>
      <x:c r="M24" s="318" t="str"/>
      <x:c r="N24" s="318" t="str"/>
      <x:c r="O24" s="318" t="str"/>
      <x:c r="P24" s="318" t="str"/>
      <x:c r="Q24" s="318" t="str"/>
      <x:c r="R24" s="318" t="str"/>
      <x:c r="S24" s="318" t="str"/>
      <x:c r="T24" s="318" t="str"/>
      <x:c r="U24" s="319" t="str"/>
    </x:row>
    <x:row r="25">
      <x:c r="A25" s="317" t="n">
        <x:v>77</x:v>
      </x:c>
      <x:c r="B25" s="318" t="str">
        <x:v>운영</x:v>
      </x:c>
      <x:c r="C25" s="318" t="str">
        <x:v>의왕</x:v>
      </x:c>
      <x:c r="D25" s="318" t="str">
        <x:v>x86</x:v>
      </x:c>
      <x:c r="E25" s="318" t="str">
        <x:v>Linux</x:v>
      </x:c>
      <x:c r="F25" s="318" t="str">
        <x:v>IaaS</x:v>
      </x:c>
      <x:c r="G25" s="318" t="str">
        <x:v>신규</x:v>
      </x:c>
      <x:c r="H25" s="318" t="str">
        <x:v>IT 서비스 및 업무지원</x:v>
      </x:c>
      <x:c r="I25" s="318" t="str">
        <x:v>sbimxmlowb01</x:v>
      </x:c>
      <x:c r="J25" s="318" t="str">
        <x:v>단말관리 WEB #01</x:v>
      </x:c>
      <x:c r="K25" s="318" t="str"/>
      <x:c r="L25" s="318" t="str"/>
      <x:c r="M25" s="318" t="str"/>
      <x:c r="N25" s="318" t="str"/>
      <x:c r="O25" s="318" t="str"/>
      <x:c r="P25" s="318" t="str"/>
      <x:c r="Q25" s="318" t="str"/>
      <x:c r="R25" s="318" t="str"/>
      <x:c r="S25" s="318" t="str"/>
      <x:c r="T25" s="318" t="str"/>
      <x:c r="U25" s="319" t="str"/>
    </x:row>
    <x:row r="26">
      <x:c r="A26" s="317" t="n">
        <x:v>78</x:v>
      </x:c>
      <x:c r="B26" s="318" t="str">
        <x:v>운영</x:v>
      </x:c>
      <x:c r="C26" s="318" t="str">
        <x:v>의왕</x:v>
      </x:c>
      <x:c r="D26" s="318" t="str">
        <x:v>x86</x:v>
      </x:c>
      <x:c r="E26" s="318" t="str">
        <x:v>Linux</x:v>
      </x:c>
      <x:c r="F26" s="318" t="str">
        <x:v>IaaS</x:v>
      </x:c>
      <x:c r="G26" s="318" t="str">
        <x:v>신규</x:v>
      </x:c>
      <x:c r="H26" s="318" t="str">
        <x:v>IT 서비스 및 업무지원</x:v>
      </x:c>
      <x:c r="I26" s="318" t="str">
        <x:v>sbimxmlowb02</x:v>
      </x:c>
      <x:c r="J26" s="318" t="str">
        <x:v>단말관리 WEB #02</x:v>
      </x:c>
      <x:c r="K26" s="318" t="str"/>
      <x:c r="L26" s="318" t="str"/>
      <x:c r="M26" s="318" t="str"/>
      <x:c r="N26" s="318" t="str"/>
      <x:c r="O26" s="318" t="str"/>
      <x:c r="P26" s="318" t="str"/>
      <x:c r="Q26" s="318" t="str"/>
      <x:c r="R26" s="318" t="str"/>
      <x:c r="S26" s="318" t="str"/>
      <x:c r="T26" s="318" t="str"/>
      <x:c r="U26" s="319" t="str"/>
    </x:row>
    <x:row r="27">
      <x:c r="A27" s="317" t="n">
        <x:v>79</x:v>
      </x:c>
      <x:c r="B27" s="318" t="str">
        <x:v>운영</x:v>
      </x:c>
      <x:c r="C27" s="318" t="str">
        <x:v>의왕</x:v>
      </x:c>
      <x:c r="D27" s="318" t="str">
        <x:v>x86</x:v>
      </x:c>
      <x:c r="E27" s="318" t="str">
        <x:v>Linux</x:v>
      </x:c>
      <x:c r="F27" s="318" t="str">
        <x:v>IaaS</x:v>
      </x:c>
      <x:c r="G27" s="318" t="str">
        <x:v>신규</x:v>
      </x:c>
      <x:c r="H27" s="318" t="str">
        <x:v>IT 서비스 및 업무지원</x:v>
      </x:c>
      <x:c r="I27" s="318" t="str">
        <x:v>sbimxmlowb03</x:v>
      </x:c>
      <x:c r="J27" s="318" t="str">
        <x:v>단말관리 WEB #03</x:v>
      </x:c>
      <x:c r="K27" s="318" t="str"/>
      <x:c r="L27" s="318" t="str"/>
      <x:c r="M27" s="318" t="str"/>
      <x:c r="N27" s="318" t="str"/>
      <x:c r="O27" s="318" t="str"/>
      <x:c r="P27" s="318" t="str"/>
      <x:c r="Q27" s="318" t="str"/>
      <x:c r="R27" s="318" t="str"/>
      <x:c r="S27" s="318" t="str"/>
      <x:c r="T27" s="318" t="str"/>
      <x:c r="U27" s="319" t="str"/>
    </x:row>
    <x:row r="28">
      <x:c r="A28" s="317" t="n">
        <x:v>80</x:v>
      </x:c>
      <x:c r="B28" s="318" t="str">
        <x:v>운영</x:v>
      </x:c>
      <x:c r="C28" s="318" t="str">
        <x:v>의왕</x:v>
      </x:c>
      <x:c r="D28" s="318" t="str">
        <x:v>x86</x:v>
      </x:c>
      <x:c r="E28" s="318" t="str">
        <x:v>Linux</x:v>
      </x:c>
      <x:c r="F28" s="318" t="str">
        <x:v>IaaS</x:v>
      </x:c>
      <x:c r="G28" s="318" t="str">
        <x:v>신규</x:v>
      </x:c>
      <x:c r="H28" s="318" t="str">
        <x:v>IT 서비스 및 업무지원</x:v>
      </x:c>
      <x:c r="I28" s="318" t="str">
        <x:v>sbimxmlowb04</x:v>
      </x:c>
      <x:c r="J28" s="318" t="str">
        <x:v>단말관리 WEB #04</x:v>
      </x:c>
      <x:c r="K28" s="318" t="str"/>
      <x:c r="L28" s="318" t="str"/>
      <x:c r="M28" s="318" t="str"/>
      <x:c r="N28" s="318" t="str"/>
      <x:c r="O28" s="318" t="str"/>
      <x:c r="P28" s="318" t="str"/>
      <x:c r="Q28" s="318" t="str"/>
      <x:c r="R28" s="318" t="str"/>
      <x:c r="S28" s="318" t="str"/>
      <x:c r="T28" s="318" t="str"/>
      <x:c r="U28" s="319" t="str"/>
    </x:row>
    <x:row r="29">
      <x:c r="A29" s="317" t="n">
        <x:v>81</x:v>
      </x:c>
      <x:c r="B29" s="318" t="str">
        <x:v>운영</x:v>
      </x:c>
      <x:c r="C29" s="318" t="str">
        <x:v>의왕</x:v>
      </x:c>
      <x:c r="D29" s="318" t="str">
        <x:v>x86</x:v>
      </x:c>
      <x:c r="E29" s="318" t="str">
        <x:v>Linux</x:v>
      </x:c>
      <x:c r="F29" s="318" t="str">
        <x:v>IaaS</x:v>
      </x:c>
      <x:c r="G29" s="318" t="str">
        <x:v>신규</x:v>
      </x:c>
      <x:c r="H29" s="318" t="str">
        <x:v>IT 서비스 및 업무지원</x:v>
      </x:c>
      <x:c r="I29" s="318" t="str">
        <x:v>sbimxmlows01</x:v>
      </x:c>
      <x:c r="J29" s="318" t="str">
        <x:v>단말관리 WAS #01</x:v>
      </x:c>
      <x:c r="K29" s="318" t="str"/>
      <x:c r="L29" s="318" t="str"/>
      <x:c r="M29" s="318" t="str"/>
      <x:c r="N29" s="318" t="str"/>
      <x:c r="O29" s="318" t="str"/>
      <x:c r="P29" s="318" t="str"/>
      <x:c r="Q29" s="318" t="str"/>
      <x:c r="R29" s="318" t="str"/>
      <x:c r="S29" s="318" t="str"/>
      <x:c r="T29" s="318" t="str"/>
      <x:c r="U29" s="319" t="str"/>
    </x:row>
    <x:row r="30">
      <x:c r="A30" s="317" t="n">
        <x:v>82</x:v>
      </x:c>
      <x:c r="B30" s="318" t="str">
        <x:v>운영</x:v>
      </x:c>
      <x:c r="C30" s="318" t="str">
        <x:v>의왕</x:v>
      </x:c>
      <x:c r="D30" s="318" t="str">
        <x:v>x86</x:v>
      </x:c>
      <x:c r="E30" s="318" t="str">
        <x:v>Linux</x:v>
      </x:c>
      <x:c r="F30" s="318" t="str">
        <x:v>IaaS</x:v>
      </x:c>
      <x:c r="G30" s="318" t="str">
        <x:v>신규</x:v>
      </x:c>
      <x:c r="H30" s="318" t="str">
        <x:v>IT 서비스 및 업무지원</x:v>
      </x:c>
      <x:c r="I30" s="318" t="str">
        <x:v>sbimxmlows02</x:v>
      </x:c>
      <x:c r="J30" s="318" t="str">
        <x:v>단말관리 WAS #02</x:v>
      </x:c>
      <x:c r="K30" s="318" t="str"/>
      <x:c r="L30" s="318" t="str"/>
      <x:c r="M30" s="318" t="str"/>
      <x:c r="N30" s="318" t="str"/>
      <x:c r="O30" s="318" t="str"/>
      <x:c r="P30" s="318" t="str"/>
      <x:c r="Q30" s="318" t="str"/>
      <x:c r="R30" s="318" t="str"/>
      <x:c r="S30" s="318" t="str"/>
      <x:c r="T30" s="318" t="str"/>
      <x:c r="U30" s="319" t="str"/>
    </x:row>
    <x:row r="31">
      <x:c r="A31" s="317" t="n">
        <x:v>83</x:v>
      </x:c>
      <x:c r="B31" s="318" t="str">
        <x:v>운영</x:v>
      </x:c>
      <x:c r="C31" s="318" t="str">
        <x:v>의왕</x:v>
      </x:c>
      <x:c r="D31" s="318" t="str">
        <x:v>x86</x:v>
      </x:c>
      <x:c r="E31" s="318" t="str">
        <x:v>Linux</x:v>
      </x:c>
      <x:c r="F31" s="318" t="str">
        <x:v>IaaS</x:v>
      </x:c>
      <x:c r="G31" s="318" t="str">
        <x:v>신규</x:v>
      </x:c>
      <x:c r="H31" s="318" t="str">
        <x:v>IT 서비스 및 업무지원</x:v>
      </x:c>
      <x:c r="I31" s="318" t="str">
        <x:v>sbimxmlows03</x:v>
      </x:c>
      <x:c r="J31" s="318" t="str">
        <x:v>단말관리 WAS #03</x:v>
      </x:c>
      <x:c r="K31" s="318" t="str"/>
      <x:c r="L31" s="318" t="str"/>
      <x:c r="M31" s="318" t="str"/>
      <x:c r="N31" s="318" t="str"/>
      <x:c r="O31" s="318" t="str"/>
      <x:c r="P31" s="318" t="str"/>
      <x:c r="Q31" s="318" t="str"/>
      <x:c r="R31" s="318" t="str"/>
      <x:c r="S31" s="318" t="str"/>
      <x:c r="T31" s="318" t="str"/>
      <x:c r="U31" s="319" t="str"/>
    </x:row>
    <x:row r="32">
      <x:c r="A32" s="317" t="n">
        <x:v>84</x:v>
      </x:c>
      <x:c r="B32" s="318" t="str">
        <x:v>운영</x:v>
      </x:c>
      <x:c r="C32" s="318" t="str">
        <x:v>의왕</x:v>
      </x:c>
      <x:c r="D32" s="318" t="str">
        <x:v>x86</x:v>
      </x:c>
      <x:c r="E32" s="318" t="str">
        <x:v>Linux</x:v>
      </x:c>
      <x:c r="F32" s="318" t="str">
        <x:v>IaaS</x:v>
      </x:c>
      <x:c r="G32" s="318" t="str">
        <x:v>신규</x:v>
      </x:c>
      <x:c r="H32" s="318" t="str">
        <x:v>IT 서비스 및 업무지원</x:v>
      </x:c>
      <x:c r="I32" s="318" t="str">
        <x:v>sbimxmlows04</x:v>
      </x:c>
      <x:c r="J32" s="318" t="str">
        <x:v>단말관리 WAS #04</x:v>
      </x:c>
      <x:c r="K32" s="318" t="str"/>
      <x:c r="L32" s="318" t="str"/>
      <x:c r="M32" s="318" t="str"/>
      <x:c r="N32" s="318" t="str"/>
      <x:c r="O32" s="318" t="str"/>
      <x:c r="P32" s="318" t="str"/>
      <x:c r="Q32" s="318" t="str"/>
      <x:c r="R32" s="318" t="str"/>
      <x:c r="S32" s="318" t="str"/>
      <x:c r="T32" s="318" t="str"/>
      <x:c r="U32" s="319" t="str"/>
    </x:row>
    <x:row r="33">
      <x:c r="A33" s="317" t="n">
        <x:v>85</x:v>
      </x:c>
      <x:c r="B33" s="318" t="str">
        <x:v>운영</x:v>
      </x:c>
      <x:c r="C33" s="318" t="str">
        <x:v>의왕</x:v>
      </x:c>
      <x:c r="D33" s="318" t="str">
        <x:v>x86</x:v>
      </x:c>
      <x:c r="E33" s="318" t="str">
        <x:v>Linux</x:v>
      </x:c>
      <x:c r="F33" s="318" t="str">
        <x:v>IaaS</x:v>
      </x:c>
      <x:c r="G33" s="318" t="str">
        <x:v>신규</x:v>
      </x:c>
      <x:c r="H33" s="318" t="str">
        <x:v>IT 서비스 및 업무지원</x:v>
      </x:c>
      <x:c r="I33" s="318" t="str">
        <x:v>sbimxdlowb01</x:v>
      </x:c>
      <x:c r="J33" s="318" t="str">
        <x:v>단말배포 WEB #01</x:v>
      </x:c>
      <x:c r="K33" s="318" t="str"/>
      <x:c r="L33" s="318" t="str"/>
      <x:c r="M33" s="318" t="str"/>
      <x:c r="N33" s="318" t="str"/>
      <x:c r="O33" s="318" t="str"/>
      <x:c r="P33" s="318" t="str"/>
      <x:c r="Q33" s="318" t="str"/>
      <x:c r="R33" s="318" t="str"/>
      <x:c r="S33" s="318" t="str"/>
      <x:c r="T33" s="318" t="str"/>
      <x:c r="U33" s="319" t="str"/>
    </x:row>
    <x:row r="34">
      <x:c r="A34" s="317" t="n">
        <x:v>86</x:v>
      </x:c>
      <x:c r="B34" s="318" t="str">
        <x:v>운영</x:v>
      </x:c>
      <x:c r="C34" s="318" t="str">
        <x:v>의왕</x:v>
      </x:c>
      <x:c r="D34" s="318" t="str">
        <x:v>x86</x:v>
      </x:c>
      <x:c r="E34" s="318" t="str">
        <x:v>Linux</x:v>
      </x:c>
      <x:c r="F34" s="318" t="str">
        <x:v>IaaS</x:v>
      </x:c>
      <x:c r="G34" s="318" t="str">
        <x:v>신규</x:v>
      </x:c>
      <x:c r="H34" s="318" t="str">
        <x:v>IT 서비스 및 업무지원</x:v>
      </x:c>
      <x:c r="I34" s="318" t="str">
        <x:v>sbimxdlowb02</x:v>
      </x:c>
      <x:c r="J34" s="318" t="str">
        <x:v>단말배포 WEB #02</x:v>
      </x:c>
      <x:c r="K34" s="318" t="str"/>
      <x:c r="L34" s="318" t="str"/>
      <x:c r="M34" s="318" t="str"/>
      <x:c r="N34" s="318" t="str"/>
      <x:c r="O34" s="318" t="str"/>
      <x:c r="P34" s="318" t="str"/>
      <x:c r="Q34" s="318" t="str"/>
      <x:c r="R34" s="318" t="str"/>
      <x:c r="S34" s="318" t="str"/>
      <x:c r="T34" s="318" t="str"/>
      <x:c r="U34" s="319" t="str"/>
    </x:row>
    <x:row r="35">
      <x:c r="A35" s="317" t="n">
        <x:v>87</x:v>
      </x:c>
      <x:c r="B35" s="318" t="str">
        <x:v>운영</x:v>
      </x:c>
      <x:c r="C35" s="318" t="str">
        <x:v>의왕</x:v>
      </x:c>
      <x:c r="D35" s="318" t="str">
        <x:v>x86</x:v>
      </x:c>
      <x:c r="E35" s="318" t="str">
        <x:v>Linux</x:v>
      </x:c>
      <x:c r="F35" s="318" t="str">
        <x:v>IaaS</x:v>
      </x:c>
      <x:c r="G35" s="318" t="str">
        <x:v>신규</x:v>
      </x:c>
      <x:c r="H35" s="318" t="str">
        <x:v>IT 서비스 및 업무지원</x:v>
      </x:c>
      <x:c r="I35" s="318" t="str">
        <x:v>sbimxdlowb03</x:v>
      </x:c>
      <x:c r="J35" s="318" t="str">
        <x:v>단말배포 WEB #03</x:v>
      </x:c>
      <x:c r="K35" s="318" t="str"/>
      <x:c r="L35" s="318" t="str"/>
      <x:c r="M35" s="318" t="str"/>
      <x:c r="N35" s="318" t="str"/>
      <x:c r="O35" s="318" t="str"/>
      <x:c r="P35" s="318" t="str"/>
      <x:c r="Q35" s="318" t="str"/>
      <x:c r="R35" s="318" t="str"/>
      <x:c r="S35" s="318" t="str"/>
      <x:c r="T35" s="318" t="str"/>
      <x:c r="U35" s="319" t="str"/>
    </x:row>
    <x:row r="36">
      <x:c r="A36" s="317" t="n">
        <x:v>88</x:v>
      </x:c>
      <x:c r="B36" s="318" t="str">
        <x:v>운영</x:v>
      </x:c>
      <x:c r="C36" s="318" t="str">
        <x:v>의왕</x:v>
      </x:c>
      <x:c r="D36" s="318" t="str">
        <x:v>x86</x:v>
      </x:c>
      <x:c r="E36" s="318" t="str">
        <x:v>Linux</x:v>
      </x:c>
      <x:c r="F36" s="318" t="str">
        <x:v>IaaS</x:v>
      </x:c>
      <x:c r="G36" s="318" t="str">
        <x:v>신규</x:v>
      </x:c>
      <x:c r="H36" s="318" t="str">
        <x:v>IT 서비스 및 업무지원</x:v>
      </x:c>
      <x:c r="I36" s="318" t="str">
        <x:v>sbimxdlowb04</x:v>
      </x:c>
      <x:c r="J36" s="318" t="str">
        <x:v>단말배포 WEB #04</x:v>
      </x:c>
      <x:c r="K36" s="318" t="str"/>
      <x:c r="L36" s="318" t="str"/>
      <x:c r="M36" s="318" t="str"/>
      <x:c r="N36" s="318" t="str"/>
      <x:c r="O36" s="318" t="str"/>
      <x:c r="P36" s="318" t="str"/>
      <x:c r="Q36" s="318" t="str"/>
      <x:c r="R36" s="318" t="str"/>
      <x:c r="S36" s="318" t="str"/>
      <x:c r="T36" s="318" t="str"/>
      <x:c r="U36" s="319" t="str"/>
    </x:row>
    <x:row r="37">
      <x:c r="A37" s="317" t="n">
        <x:v>89</x:v>
      </x:c>
      <x:c r="B37" s="318" t="str">
        <x:v>운영</x:v>
      </x:c>
      <x:c r="C37" s="318" t="str">
        <x:v>의왕</x:v>
      </x:c>
      <x:c r="D37" s="318" t="str">
        <x:v>x86</x:v>
      </x:c>
      <x:c r="E37" s="318" t="str">
        <x:v>Linux</x:v>
      </x:c>
      <x:c r="F37" s="318" t="str">
        <x:v>IaaS</x:v>
      </x:c>
      <x:c r="G37" s="318" t="str">
        <x:v>신규</x:v>
      </x:c>
      <x:c r="H37" s="318" t="str">
        <x:v>IT 서비스 및 업무지원</x:v>
      </x:c>
      <x:c r="I37" s="318" t="str">
        <x:v>sbimxdlowb05</x:v>
      </x:c>
      <x:c r="J37" s="318" t="str">
        <x:v>단말배포 WEB #05</x:v>
      </x:c>
      <x:c r="K37" s="318" t="str"/>
      <x:c r="L37" s="318" t="str"/>
      <x:c r="M37" s="318" t="str"/>
      <x:c r="N37" s="318" t="str"/>
      <x:c r="O37" s="318" t="str"/>
      <x:c r="P37" s="318" t="str"/>
      <x:c r="Q37" s="318" t="str"/>
      <x:c r="R37" s="318" t="str"/>
      <x:c r="S37" s="318" t="str"/>
      <x:c r="T37" s="318" t="str"/>
      <x:c r="U37" s="319" t="str"/>
    </x:row>
    <x:row r="38">
      <x:c r="A38" s="317" t="n">
        <x:v>90</x:v>
      </x:c>
      <x:c r="B38" s="318" t="str">
        <x:v>운영</x:v>
      </x:c>
      <x:c r="C38" s="318" t="str">
        <x:v>의왕</x:v>
      </x:c>
      <x:c r="D38" s="318" t="str">
        <x:v>x86</x:v>
      </x:c>
      <x:c r="E38" s="318" t="str">
        <x:v>Linux</x:v>
      </x:c>
      <x:c r="F38" s="318" t="str">
        <x:v>IaaS</x:v>
      </x:c>
      <x:c r="G38" s="318" t="str">
        <x:v>신규</x:v>
      </x:c>
      <x:c r="H38" s="318" t="str">
        <x:v>IT 서비스 및 업무지원</x:v>
      </x:c>
      <x:c r="I38" s="318" t="str">
        <x:v>sbimxdlowb06</x:v>
      </x:c>
      <x:c r="J38" s="318" t="str">
        <x:v>단말배포 WEB #06</x:v>
      </x:c>
      <x:c r="K38" s="318" t="str"/>
      <x:c r="L38" s="318" t="str"/>
      <x:c r="M38" s="318" t="str"/>
      <x:c r="N38" s="318" t="str"/>
      <x:c r="O38" s="318" t="str"/>
      <x:c r="P38" s="318" t="str"/>
      <x:c r="Q38" s="318" t="str"/>
      <x:c r="R38" s="318" t="str"/>
      <x:c r="S38" s="318" t="str"/>
      <x:c r="T38" s="318" t="str"/>
      <x:c r="U38" s="319" t="str"/>
    </x:row>
    <x:row r="39">
      <x:c r="A39" s="317" t="n">
        <x:v>91</x:v>
      </x:c>
      <x:c r="B39" s="318" t="str">
        <x:v>운영</x:v>
      </x:c>
      <x:c r="C39" s="318" t="str">
        <x:v>의왕</x:v>
      </x:c>
      <x:c r="D39" s="318" t="str">
        <x:v>x86</x:v>
      </x:c>
      <x:c r="E39" s="318" t="str">
        <x:v>Linux</x:v>
      </x:c>
      <x:c r="F39" s="318" t="str">
        <x:v>IaaS</x:v>
      </x:c>
      <x:c r="G39" s="318" t="str">
        <x:v>신규</x:v>
      </x:c>
      <x:c r="H39" s="318" t="str">
        <x:v>IT 서비스 및 업무지원</x:v>
      </x:c>
      <x:c r="I39" s="318" t="str">
        <x:v>sbimxdlows01</x:v>
      </x:c>
      <x:c r="J39" s="318" t="str">
        <x:v>단말배포 WAS #01</x:v>
      </x:c>
      <x:c r="K39" s="318" t="str"/>
      <x:c r="L39" s="318" t="str"/>
      <x:c r="M39" s="318" t="str"/>
      <x:c r="N39" s="318" t="str"/>
      <x:c r="O39" s="318" t="str"/>
      <x:c r="P39" s="318" t="str"/>
      <x:c r="Q39" s="318" t="str"/>
      <x:c r="R39" s="318" t="str"/>
      <x:c r="S39" s="318" t="str"/>
      <x:c r="T39" s="318" t="str"/>
      <x:c r="U39" s="319" t="str"/>
    </x:row>
    <x:row r="40">
      <x:c r="A40" s="317" t="n">
        <x:v>92</x:v>
      </x:c>
      <x:c r="B40" s="318" t="str">
        <x:v>운영</x:v>
      </x:c>
      <x:c r="C40" s="318" t="str">
        <x:v>의왕</x:v>
      </x:c>
      <x:c r="D40" s="318" t="str">
        <x:v>x86</x:v>
      </x:c>
      <x:c r="E40" s="318" t="str">
        <x:v>Linux</x:v>
      </x:c>
      <x:c r="F40" s="318" t="str">
        <x:v>IaaS</x:v>
      </x:c>
      <x:c r="G40" s="318" t="str">
        <x:v>신규</x:v>
      </x:c>
      <x:c r="H40" s="318" t="str">
        <x:v>IT 서비스 및 업무지원</x:v>
      </x:c>
      <x:c r="I40" s="318" t="str">
        <x:v>sbimxdlows02</x:v>
      </x:c>
      <x:c r="J40" s="318" t="str">
        <x:v>단말배포 WAS #02</x:v>
      </x:c>
      <x:c r="K40" s="318" t="str"/>
      <x:c r="L40" s="318" t="str"/>
      <x:c r="M40" s="318" t="str"/>
      <x:c r="N40" s="318" t="str"/>
      <x:c r="O40" s="318" t="str"/>
      <x:c r="P40" s="318" t="str"/>
      <x:c r="Q40" s="318" t="str"/>
      <x:c r="R40" s="318" t="str"/>
      <x:c r="S40" s="318" t="str"/>
      <x:c r="T40" s="318" t="str"/>
      <x:c r="U40" s="319" t="str"/>
    </x:row>
    <x:row r="41">
      <x:c r="A41" s="317" t="n">
        <x:v>93</x:v>
      </x:c>
      <x:c r="B41" s="318" t="str">
        <x:v>운영</x:v>
      </x:c>
      <x:c r="C41" s="318" t="str">
        <x:v>의왕</x:v>
      </x:c>
      <x:c r="D41" s="318" t="str">
        <x:v>x86</x:v>
      </x:c>
      <x:c r="E41" s="318" t="str">
        <x:v>Linux</x:v>
      </x:c>
      <x:c r="F41" s="318" t="str">
        <x:v>IaaS</x:v>
      </x:c>
      <x:c r="G41" s="318" t="str">
        <x:v>신규</x:v>
      </x:c>
      <x:c r="H41" s="318" t="str">
        <x:v>IT 서비스 및 업무지원</x:v>
      </x:c>
      <x:c r="I41" s="318" t="str">
        <x:v>sbimxdlows03</x:v>
      </x:c>
      <x:c r="J41" s="318" t="str">
        <x:v>단말배포 WAS #03</x:v>
      </x:c>
      <x:c r="K41" s="318" t="str"/>
      <x:c r="L41" s="318" t="str"/>
      <x:c r="M41" s="318" t="str"/>
      <x:c r="N41" s="318" t="str"/>
      <x:c r="O41" s="318" t="str"/>
      <x:c r="P41" s="318" t="str"/>
      <x:c r="Q41" s="318" t="str"/>
      <x:c r="R41" s="318" t="str"/>
      <x:c r="S41" s="318" t="str"/>
      <x:c r="T41" s="318" t="str"/>
      <x:c r="U41" s="319" t="str"/>
    </x:row>
    <x:row r="42">
      <x:c r="A42" s="320" t="n">
        <x:v>94</x:v>
      </x:c>
      <x:c r="B42" s="321" t="str">
        <x:v>운영</x:v>
      </x:c>
      <x:c r="C42" s="321" t="str">
        <x:v>의왕</x:v>
      </x:c>
      <x:c r="D42" s="321" t="str">
        <x:v>x86</x:v>
      </x:c>
      <x:c r="E42" s="321" t="str">
        <x:v>Linux</x:v>
      </x:c>
      <x:c r="F42" s="321" t="str">
        <x:v>IaaS</x:v>
      </x:c>
      <x:c r="G42" s="321" t="str">
        <x:v>신규</x:v>
      </x:c>
      <x:c r="H42" s="321" t="str">
        <x:v>IT 서비스 및 업무지원</x:v>
      </x:c>
      <x:c r="I42" s="321" t="str">
        <x:v>sbimxdlows04</x:v>
      </x:c>
      <x:c r="J42" s="321" t="str">
        <x:v>단말배포 WAS #04</x:v>
      </x:c>
      <x:c r="K42" s="321" t="str"/>
      <x:c r="L42" s="321" t="str"/>
      <x:c r="M42" s="321" t="str"/>
      <x:c r="N42" s="321" t="str"/>
      <x:c r="O42" s="321" t="str"/>
      <x:c r="P42" s="321" t="str"/>
      <x:c r="Q42" s="321" t="str"/>
      <x:c r="R42" s="321" t="str"/>
      <x:c r="S42" s="321" t="str"/>
      <x:c r="T42" s="321" t="str"/>
      <x:c r="U42" s="322" t="str"/>
    </x:row>
  </x:sheetData>
  <x:mergeCells>
    <x:mergeCell ref="B1:J1"/>
    <x:mergeCell ref="K1:T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5" hidden="0" customWidth="1"/>
    <x:col min="4" max="4" width="12" hidden="0" customWidth="1"/>
    <x:col min="5" max="5" width="11" hidden="0" customWidth="1"/>
    <x:col min="6" max="6" width="11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2" hidden="0" customWidth="1"/>
    <x:col min="12" max="12" width="15" hidden="0" customWidth="1"/>
    <x:col min="13" max="13" width="13" hidden="0" customWidth="1"/>
    <x:col min="14" max="14" width="13" hidden="0" customWidth="1"/>
    <x:col min="15" max="15" width="16" hidden="0" customWidth="1"/>
    <x:col min="16" max="16" width="13" hidden="0" customWidth="1"/>
    <x:col min="18" max="18" width="16" hidden="0" customWidth="1"/>
    <x:col min="19" max="19" width="16" hidden="0" customWidth="1"/>
  </x:cols>
  <x:sheetData>
    <x:row r="1">
      <x:c r="A1" s="351" t="str">
        <x:v>1. WEB 서버 용량산정 산식</x:v>
      </x:c>
      <x:c r="B1" s="12"/>
      <x:c r="C1" s="199"/>
      <x:c r="D1" s="199"/>
      <x:c r="E1" s="231"/>
      <x:c r="F1" s="231"/>
      <x:c r="G1" s="231"/>
      <x:c r="H1" s="231"/>
      <x:c r="I1" s="231"/>
      <x:c r="J1" s="231"/>
      <x:c r="K1" s="231"/>
      <x:c r="L1" s="199"/>
      <x:c r="M1" s="199"/>
      <x:c r="N1" s="199"/>
      <x:c r="O1" s="370" t="str">
        <x:v>Core 기준</x:v>
      </x:c>
      <x:c r="P1" s="373" t="str">
        <x:v>값</x:v>
      </x:c>
      <x:c r="Q1" s="12"/>
      <x:c r="R1" s="199"/>
      <x:c r="S1" s="199"/>
      <x:c r="T1" s="12"/>
      <x:c r="U1" s="12"/>
      <x:c r="V1" s="12"/>
      <x:c r="W1" s="12"/>
      <x:c r="X1" s="12"/>
      <x:c r="Y1" s="12"/>
      <x:c r="Z1" s="12"/>
      <x:c r="AA1" s="12"/>
      <x:c r="AB1" s="12"/>
    </x:row>
    <x:row r="2">
      <x:c r="A2" s="12"/>
      <x:c r="B2" s="12"/>
      <x:c r="C2" s="199"/>
      <x:c r="D2" s="199"/>
      <x:c r="E2" s="231"/>
      <x:c r="F2" s="231"/>
      <x:c r="G2" s="231"/>
      <x:c r="H2" s="231"/>
      <x:c r="I2" s="231"/>
      <x:c r="J2" s="231"/>
      <x:c r="K2" s="231"/>
      <x:c r="L2" s="199"/>
      <x:c r="M2" s="199"/>
      <x:c r="N2" s="199"/>
      <x:c r="O2" s="371" t="str">
        <x:v>tpmC/Core</x:v>
      </x:c>
      <x:c r="P2" s="374" t="n">
        <x:v>110000</x:v>
      </x:c>
      <x:c r="Q2" s="12"/>
      <x:c r="R2" s="199"/>
      <x:c r="S2" s="199"/>
      <x:c r="T2" s="12"/>
      <x:c r="U2" s="12"/>
      <x:c r="V2" s="12"/>
      <x:c r="W2" s="12"/>
      <x:c r="X2" s="12"/>
      <x:c r="Y2" s="12"/>
      <x:c r="Z2" s="12"/>
      <x:c r="AA2" s="12"/>
      <x:c r="AB2" s="12"/>
    </x:row>
    <x:row r="3">
      <x:c r="A3" s="332" t="str">
        <x:v>대상</x:v>
      </x:c>
      <x:c r="B3" s="333" t="str">
        <x:v>AS-IS 기준 서버</x:v>
      </x:c>
      <x:c r="C3" s="362" t="str">
        <x:v>서버당 보유성능 tpmC</x:v>
      </x:c>
      <x:c r="D3" s="362" t="str">
        <x:v>서버 구성 수량</x:v>
      </x:c>
      <x:c r="E3" s="380" t="str">
        <x:v>CPU 사용률</x:v>
      </x:c>
      <x:c r="F3" s="380" t="str">
        <x:v>목표 사용률 60%</x:v>
      </x:c>
      <x:c r="G3" s="380" t="str">
        <x:v>업무용도 보정 0.7~2</x:v>
      </x:c>
      <x:c r="H3" s="380" t="str">
        <x:v>인터페이스 부하 조정 2~30%</x:v>
      </x:c>
      <x:c r="I3" s="380" t="str">
        <x:v>네트워크 부하 조정 10~100%</x:v>
      </x:c>
      <x:c r="J3" s="380" t="str">
        <x:v>향후 시스템 증가율 50%</x:v>
      </x:c>
      <x:c r="K3" s="380" t="str">
        <x:v>시스템 여유율 10~30%</x:v>
      </x:c>
      <x:c r="L3" s="362" t="str">
        <x:v>tpmC 산정 결과</x:v>
      </x:c>
      <x:c r="M3" s="367" t="str">
        <x:v>필요 Core 수량</x:v>
      </x:c>
      <x:c r="N3" s="199"/>
      <x:c r="O3" s="371" t="str">
        <x:v>Disk 할당량(GB)</x:v>
      </x:c>
      <x:c r="P3" s="374" t="str">
        <x:v>Disk 사용량(GB)</x:v>
      </x:c>
      <x:c r="Q3" s="12"/>
      <x:c r="R3" s="199"/>
      <x:c r="S3" s="199"/>
      <x:c r="T3" s="12"/>
      <x:c r="U3" s="12"/>
      <x:c r="V3" s="12"/>
      <x:c r="W3" s="12"/>
      <x:c r="X3" s="12"/>
      <x:c r="Y3" s="12"/>
      <x:c r="Z3" s="12"/>
      <x:c r="AA3" s="12"/>
      <x:c r="AB3" s="12"/>
    </x:row>
    <x:row r="4">
      <x:c r="A4" s="317" t="str">
        <x:v>마케팅플랫폼 WEB</x:v>
      </x:c>
      <x:c r="B4" s="318" t="str">
        <x:v>CRM WEB/WAS #01</x:v>
      </x:c>
      <x:c r="C4" s="363" t="n">
        <x:v>1212854</x:v>
      </x:c>
      <x:c r="D4" s="363" t="n">
        <x:v>2</x:v>
      </x:c>
      <x:c r="E4" s="381" t="n">
        <x:v>0.4</x:v>
      </x:c>
      <x:c r="F4" s="381" t="n">
        <x:v>0.6</x:v>
      </x:c>
      <x:c r="G4" s="381" t="n">
        <x:v>0.7</x:v>
      </x:c>
      <x:c r="H4" s="381" t="n">
        <x:v>1.1</x:v>
      </x:c>
      <x:c r="I4" s="381" t="n">
        <x:v>1.1</x:v>
      </x:c>
      <x:c r="J4" s="381" t="n">
        <x:v>1.5</x:v>
      </x:c>
      <x:c r="K4" s="381" t="n">
        <x:v>1.1</x:v>
      </x:c>
      <x:c r="L4" s="365" t="n">
        <x:f>ROUND(ROUND(ROUND(ROUND(ROUND(ROUND(ROUND(ROUND(C4*D4,0)*E4,0)/F4,0)*G4,0)*H4,0)*I4,0)*J4,0)*K4,0)</x:f>
        <x:v>2260034</x:v>
      </x:c>
      <x:c r="M4" s="368" t="n">
        <x:f>ROUND(L4/$P$2,0)</x:f>
        <x:v>21</x:v>
      </x:c>
      <x:c r="N4" s="199"/>
      <x:c r="O4" s="371" t="n">
        <x:v>6</x:v>
      </x:c>
      <x:c r="P4" s="374" t="n">
        <x:v>1</x:v>
      </x:c>
      <x:c r="Q4" s="12"/>
      <x:c r="R4" s="199"/>
      <x:c r="S4" s="199"/>
      <x:c r="T4" s="12"/>
      <x:c r="U4" s="12"/>
      <x:c r="V4" s="12"/>
      <x:c r="W4" s="12"/>
      <x:c r="X4" s="12"/>
      <x:c r="Y4" s="12"/>
      <x:c r="Z4" s="12"/>
      <x:c r="AA4" s="12"/>
      <x:c r="AB4" s="12"/>
    </x:row>
    <x:row r="5">
      <x:c r="A5" s="317" t="str">
        <x:v>싱글뷰 WEB</x:v>
      </x:c>
      <x:c r="B5" s="318" t="str">
        <x:v>토탈마케팅 WEB #01</x:v>
      </x:c>
      <x:c r="C5" s="363" t="n">
        <x:v>753120</x:v>
      </x:c>
      <x:c r="D5" s="363" t="n">
        <x:v>2</x:v>
      </x:c>
      <x:c r="E5" s="381" t="n">
        <x:v>0.3</x:v>
      </x:c>
      <x:c r="F5" s="381" t="n">
        <x:v>0.6</x:v>
      </x:c>
      <x:c r="G5" s="381" t="n">
        <x:v>1</x:v>
      </x:c>
      <x:c r="H5" s="381" t="n">
        <x:v>1.1</x:v>
      </x:c>
      <x:c r="I5" s="381" t="n">
        <x:v>1.1</x:v>
      </x:c>
      <x:c r="J5" s="381" t="n">
        <x:v>1.5</x:v>
      </x:c>
      <x:c r="K5" s="381" t="n">
        <x:v>1.1</x:v>
      </x:c>
      <x:c r="L5" s="365" t="n">
        <x:f>ROUND(ROUND(ROUND(ROUND(ROUND(ROUND(ROUND(ROUND(C5*D5,0)*E5,0)/F5,0)*G5,0)*H5,0)*I5,0)*J5,0)*K5,0)</x:f>
        <x:v>1503604</x:v>
      </x:c>
      <x:c r="M5" s="368" t="n">
        <x:f>ROUND(L5/$P$2,0)</x:f>
        <x:v>14</x:v>
      </x:c>
      <x:c r="N5" s="199"/>
      <x:c r="O5" s="371" t="n">
        <x:v>6</x:v>
      </x:c>
      <x:c r="P5" s="374" t="n">
        <x:v>1</x:v>
      </x:c>
      <x:c r="Q5" s="12"/>
      <x:c r="R5" s="199"/>
      <x:c r="S5" s="199"/>
      <x:c r="T5" s="12"/>
      <x:c r="U5" s="12"/>
      <x:c r="V5" s="12"/>
      <x:c r="W5" s="12"/>
      <x:c r="X5" s="12"/>
      <x:c r="Y5" s="12"/>
      <x:c r="Z5" s="12"/>
      <x:c r="AA5" s="12"/>
      <x:c r="AB5" s="12"/>
    </x:row>
    <x:row r="6">
      <x:c r="A6" s="317" t="str">
        <x:v>신용실적 WEB</x:v>
      </x:c>
      <x:c r="B6" s="318" t="str">
        <x:v>신용실적 AP #01</x:v>
      </x:c>
      <x:c r="C6" s="363" t="n">
        <x:v>1234117</x:v>
      </x:c>
      <x:c r="D6" s="363" t="n">
        <x:v>2</x:v>
      </x:c>
      <x:c r="E6" s="381" t="n">
        <x:v>0.05</x:v>
      </x:c>
      <x:c r="F6" s="381" t="n">
        <x:v>0.6</x:v>
      </x:c>
      <x:c r="G6" s="381" t="n">
        <x:v>0.7</x:v>
      </x:c>
      <x:c r="H6" s="381" t="n">
        <x:v>1.1</x:v>
      </x:c>
      <x:c r="I6" s="381" t="n">
        <x:v>1.1</x:v>
      </x:c>
      <x:c r="J6" s="381" t="n">
        <x:v>1.5</x:v>
      </x:c>
      <x:c r="K6" s="381" t="n">
        <x:v>1.1</x:v>
      </x:c>
      <x:c r="L6" s="365" t="n">
        <x:f>ROUND(ROUND(ROUND(ROUND(ROUND(ROUND(ROUND(ROUND(C6*D6,0)*E6,0)/F6,0)*G6,0)*H6,0)*I6,0)*J6,0)*K6,0)</x:f>
        <x:v>287459</x:v>
      </x:c>
      <x:c r="M6" s="368" t="n">
        <x:f>ROUND(L6/$P$2,0)</x:f>
        <x:v>3</x:v>
      </x:c>
      <x:c r="N6" s="199"/>
      <x:c r="O6" s="371" t="n">
        <x:v>1</x:v>
      </x:c>
      <x:c r="P6" s="374" t="n">
        <x:v>0</x:v>
      </x:c>
      <x:c r="Q6" s="12"/>
      <x:c r="R6" s="199"/>
      <x:c r="S6" s="199"/>
      <x:c r="T6" s="12"/>
      <x:c r="U6" s="12"/>
      <x:c r="V6" s="12"/>
      <x:c r="W6" s="12"/>
      <x:c r="X6" s="12"/>
      <x:c r="Y6" s="12"/>
      <x:c r="Z6" s="12"/>
      <x:c r="AA6" s="12"/>
      <x:c r="AB6" s="12"/>
    </x:row>
    <x:row r="7">
      <x:c r="A7" s="320" t="str">
        <x:v>OLAP WEB</x:v>
      </x:c>
      <x:c r="B7" s="321" t="str">
        <x:v>OLAP WAS #01</x:v>
      </x:c>
      <x:c r="C7" s="364" t="n">
        <x:v>753120</x:v>
      </x:c>
      <x:c r="D7" s="364" t="n">
        <x:v>2</x:v>
      </x:c>
      <x:c r="E7" s="382" t="n">
        <x:v>0.1</x:v>
      </x:c>
      <x:c r="F7" s="382" t="n">
        <x:v>0.6</x:v>
      </x:c>
      <x:c r="G7" s="382" t="n">
        <x:v>0.7</x:v>
      </x:c>
      <x:c r="H7" s="382" t="n">
        <x:v>1.1</x:v>
      </x:c>
      <x:c r="I7" s="382" t="n">
        <x:v>1.1</x:v>
      </x:c>
      <x:c r="J7" s="382" t="n">
        <x:v>1.5</x:v>
      </x:c>
      <x:c r="K7" s="382" t="n">
        <x:v>1.1</x:v>
      </x:c>
      <x:c r="L7" s="366" t="n">
        <x:f>ROUND(ROUND(ROUND(ROUND(ROUND(ROUND(ROUND(ROUND(C7*D7,0)*E7,0)/F7,0)*G7,0)*H7,0)*I7,0)*J7,0)*K7,0)</x:f>
        <x:v>350842</x:v>
      </x:c>
      <x:c r="M7" s="369" t="n">
        <x:f>ROUND(L7/$P$2,0)</x:f>
        <x:v>3</x:v>
      </x:c>
      <x:c r="N7" s="199"/>
      <x:c r="O7" s="371" t="n">
        <x:v>1</x:v>
      </x:c>
      <x:c r="P7" s="374" t="n">
        <x:v>0</x:v>
      </x:c>
      <x:c r="Q7" s="12"/>
      <x:c r="R7" s="199"/>
      <x:c r="S7" s="199"/>
      <x:c r="T7" s="12"/>
      <x:c r="U7" s="12"/>
      <x:c r="V7" s="12"/>
      <x:c r="W7" s="12"/>
      <x:c r="X7" s="12"/>
      <x:c r="Y7" s="12"/>
      <x:c r="Z7" s="12"/>
      <x:c r="AA7" s="12"/>
      <x:c r="AB7" s="12"/>
    </x:row>
    <x:row r="8">
      <x:c r="A8" s="12"/>
      <x:c r="B8" s="12"/>
      <x:c r="C8" s="199"/>
      <x:c r="D8" s="199"/>
      <x:c r="E8" s="231"/>
      <x:c r="F8" s="231"/>
      <x:c r="G8" s="231"/>
      <x:c r="H8" s="231"/>
      <x:c r="I8" s="231"/>
      <x:c r="J8" s="231"/>
      <x:c r="K8" s="231"/>
      <x:c r="L8" s="199"/>
      <x:c r="M8" s="199"/>
      <x:c r="N8" s="199"/>
      <x:c r="O8" s="371" t="n">
        <x:v>80</x:v>
      </x:c>
      <x:c r="P8" s="374" t="n">
        <x:v>2</x:v>
      </x:c>
      <x:c r="Q8" s="12"/>
      <x:c r="R8" s="199"/>
      <x:c r="S8" s="199"/>
      <x:c r="T8" s="12"/>
      <x:c r="U8" s="12"/>
      <x:c r="V8" s="12"/>
      <x:c r="W8" s="12"/>
      <x:c r="X8" s="12"/>
      <x:c r="Y8" s="12"/>
      <x:c r="Z8" s="12"/>
      <x:c r="AA8" s="12"/>
      <x:c r="AB8" s="12"/>
    </x:row>
    <x:row r="9">
      <x:c r="A9" s="12"/>
      <x:c r="B9" s="12"/>
      <x:c r="C9" s="199"/>
      <x:c r="D9" s="199"/>
      <x:c r="E9" s="231"/>
      <x:c r="F9" s="231"/>
      <x:c r="G9" s="231"/>
      <x:c r="H9" s="231"/>
      <x:c r="I9" s="231"/>
      <x:c r="J9" s="231"/>
      <x:c r="K9" s="231"/>
      <x:c r="L9" s="199"/>
      <x:c r="M9" s="199"/>
      <x:c r="N9" s="199"/>
      <x:c r="O9" s="371" t="n">
        <x:v>40</x:v>
      </x:c>
      <x:c r="P9" s="374" t="n">
        <x:v>2</x:v>
      </x:c>
      <x:c r="Q9" s="12"/>
      <x:c r="R9" s="199"/>
      <x:c r="S9" s="199"/>
      <x:c r="T9" s="12"/>
      <x:c r="U9" s="12"/>
      <x:c r="V9" s="12"/>
      <x:c r="W9" s="12"/>
      <x:c r="X9" s="12"/>
      <x:c r="Y9" s="12"/>
      <x:c r="Z9" s="12"/>
      <x:c r="AA9" s="12"/>
      <x:c r="AB9" s="12"/>
    </x:row>
    <x:row r="10">
      <x:c r="A10" s="351" t="str">
        <x:v>2. WAS 서버 용량산정 산식</x:v>
      </x:c>
      <x:c r="B10" s="12"/>
      <x:c r="C10" s="199"/>
      <x:c r="D10" s="199"/>
      <x:c r="E10" s="231"/>
      <x:c r="F10" s="231"/>
      <x:c r="G10" s="231"/>
      <x:c r="H10" s="231"/>
      <x:c r="I10" s="231"/>
      <x:c r="J10" s="231"/>
      <x:c r="K10" s="231"/>
      <x:c r="L10" s="199"/>
      <x:c r="M10" s="199"/>
      <x:c r="N10" s="199"/>
      <x:c r="O10" s="371" t="n">
        <x:v>108</x:v>
      </x:c>
      <x:c r="P10" s="374" t="n">
        <x:v>11</x:v>
      </x:c>
      <x:c r="Q10" s="12"/>
      <x:c r="R10" s="199"/>
      <x:c r="S10" s="199"/>
      <x:c r="T10" s="12"/>
      <x:c r="U10" s="12"/>
      <x:c r="V10" s="12"/>
      <x:c r="W10" s="12"/>
      <x:c r="X10" s="12"/>
      <x:c r="Y10" s="12"/>
      <x:c r="Z10" s="12"/>
      <x:c r="AA10" s="12"/>
      <x:c r="AB10" s="12"/>
    </x:row>
    <x:row r="11">
      <x:c r="A11" s="12"/>
      <x:c r="B11" s="12"/>
      <x:c r="C11" s="199"/>
      <x:c r="D11" s="199"/>
      <x:c r="E11" s="231"/>
      <x:c r="F11" s="231"/>
      <x:c r="G11" s="231"/>
      <x:c r="H11" s="231"/>
      <x:c r="I11" s="231"/>
      <x:c r="J11" s="231"/>
      <x:c r="K11" s="231"/>
      <x:c r="L11" s="199"/>
      <x:c r="M11" s="199"/>
      <x:c r="N11" s="199"/>
      <x:c r="O11" s="372" t="n">
        <x:v>108</x:v>
      </x:c>
      <x:c r="P11" s="375" t="n">
        <x:v>11</x:v>
      </x:c>
      <x:c r="Q11" s="12"/>
      <x:c r="R11" s="199"/>
      <x:c r="S11" s="199"/>
      <x:c r="T11" s="12"/>
      <x:c r="U11" s="12"/>
      <x:c r="V11" s="12"/>
      <x:c r="W11" s="12"/>
      <x:c r="X11" s="12"/>
      <x:c r="Y11" s="12"/>
      <x:c r="Z11" s="12"/>
      <x:c r="AA11" s="12"/>
      <x:c r="AB11" s="12"/>
    </x:row>
    <x:row r="12">
      <x:c r="A12" s="332" t="str">
        <x:v>대상</x:v>
      </x:c>
      <x:c r="B12" s="333" t="str">
        <x:v>AS-IS 기준 서버</x:v>
      </x:c>
      <x:c r="C12" s="362" t="str">
        <x:v>서버당 보유성능 tpmC</x:v>
      </x:c>
      <x:c r="D12" s="362" t="str">
        <x:v>서버 구성 수량</x:v>
      </x:c>
      <x:c r="E12" s="380" t="str">
        <x:v>CPU 사용률</x:v>
      </x:c>
      <x:c r="F12" s="380" t="str">
        <x:v>목표 사용률 60%</x:v>
      </x:c>
      <x:c r="G12" s="380" t="str">
        <x:v>업무용도 보정 0.7~2</x:v>
      </x:c>
      <x:c r="H12" s="380" t="str">
        <x:v>Java 가중치 보정 110%</x:v>
      </x:c>
      <x:c r="I12" s="380" t="str">
        <x:v>인터페이스 부하 조정 2~30%</x:v>
      </x:c>
      <x:c r="J12" s="380" t="str">
        <x:v>네트워크 부하 조정 10~100%</x:v>
      </x:c>
      <x:c r="K12" s="380" t="str">
        <x:v>클러스터 보정 30%</x:v>
      </x:c>
      <x:c r="L12" s="362" t="str">
        <x:v>향후 시스템 증가율 50%</x:v>
      </x:c>
      <x:c r="M12" s="362" t="str">
        <x:v>시스템 여유율 10~30%</x:v>
      </x:c>
      <x:c r="N12" s="362" t="str">
        <x:v>추가용량</x:v>
      </x:c>
      <x:c r="O12" s="362" t="str">
        <x:v>tpmC 산정 결과</x:v>
      </x:c>
      <x:c r="P12" s="367" t="str">
        <x:v>필요 Core 수량</x:v>
      </x:c>
      <x:c r="Q12" s="12"/>
      <x:c r="R12" s="376" t="str">
        <x:v>Disk 할당량(GB)</x:v>
      </x:c>
      <x:c r="S12" s="378" t="str">
        <x:v>Disk 사용량(GB)</x:v>
      </x:c>
      <x:c r="T12" s="12"/>
      <x:c r="U12" s="12"/>
      <x:c r="V12" s="12"/>
      <x:c r="W12" s="12"/>
      <x:c r="X12" s="12"/>
      <x:c r="Y12" s="12"/>
      <x:c r="Z12" s="12"/>
      <x:c r="AA12" s="12"/>
      <x:c r="AB12" s="12"/>
    </x:row>
    <x:row r="13">
      <x:c r="A13" s="317" t="str">
        <x:v>마케팅플랫폼 WAS</x:v>
      </x:c>
      <x:c r="B13" s="318" t="str">
        <x:v>CRM WEB/WAS #01</x:v>
      </x:c>
      <x:c r="C13" s="363" t="n">
        <x:v>1212854</x:v>
      </x:c>
      <x:c r="D13" s="363" t="n">
        <x:v>2</x:v>
      </x:c>
      <x:c r="E13" s="381" t="n">
        <x:v>0.4</x:v>
      </x:c>
      <x:c r="F13" s="381" t="n">
        <x:v>0.6</x:v>
      </x:c>
      <x:c r="G13" s="381" t="n">
        <x:v>1.1</x:v>
      </x:c>
      <x:c r="H13" s="381" t="n">
        <x:v>1.1</x:v>
      </x:c>
      <x:c r="I13" s="381" t="n">
        <x:v>1.1</x:v>
      </x:c>
      <x:c r="J13" s="381" t="n">
        <x:v>1.1</x:v>
      </x:c>
      <x:c r="K13" s="381" t="n">
        <x:v>1.3</x:v>
      </x:c>
      <x:c r="L13" s="363" t="n">
        <x:v>1.5</x:v>
      </x:c>
      <x:c r="M13" s="363" t="n">
        <x:v>1.1</x:v>
      </x:c>
      <x:c r="N13" s="363" t="n">
        <x:v>2620508</x:v>
      </x:c>
      <x:c r="O13" s="365" t="n">
        <x:f>ROUND(ROUND(ROUND(ROUND(ROUND(ROUND(ROUND(ROUND(ROUND(ROUND(C13*D13,0)*E13,0)/F13,0)*G13,0)*H13,0)*I13,0)*J13,0)*K13,0)*L13,0)*M13,0)+N13</x:f>
        <x:v>7699122</x:v>
      </x:c>
      <x:c r="P13" s="368" t="n">
        <x:f>ROUND(O13/$P$2,0)</x:f>
        <x:v>70</x:v>
      </x:c>
      <x:c r="Q13" s="12"/>
      <x:c r="R13" s="371" t="n">
        <x:v>6</x:v>
      </x:c>
      <x:c r="S13" s="374" t="n">
        <x:v>1</x:v>
      </x:c>
      <x:c r="T13" s="12"/>
      <x:c r="U13" s="12"/>
      <x:c r="V13" s="12"/>
      <x:c r="W13" s="12"/>
      <x:c r="X13" s="12"/>
      <x:c r="Y13" s="12"/>
      <x:c r="Z13" s="12"/>
      <x:c r="AA13" s="12"/>
      <x:c r="AB13" s="12"/>
    </x:row>
    <x:row r="14">
      <x:c r="A14" s="317" t="str">
        <x:v>싱글뷰 WAS</x:v>
      </x:c>
      <x:c r="B14" s="318" t="str">
        <x:v>토탈마케팅 WAS #01 + 연계뱅킹 AP 35%</x:v>
      </x:c>
      <x:c r="C14" s="363" t="n">
        <x:v>2418833</x:v>
      </x:c>
      <x:c r="D14" s="363" t="n">
        <x:v>2</x:v>
      </x:c>
      <x:c r="E14" s="381" t="n">
        <x:v>0.4</x:v>
      </x:c>
      <x:c r="F14" s="381" t="n">
        <x:v>0.6</x:v>
      </x:c>
      <x:c r="G14" s="381" t="n">
        <x:v>1</x:v>
      </x:c>
      <x:c r="H14" s="381" t="n">
        <x:v>1.1</x:v>
      </x:c>
      <x:c r="I14" s="381" t="n">
        <x:v>1.1</x:v>
      </x:c>
      <x:c r="J14" s="381" t="n">
        <x:v>1.1</x:v>
      </x:c>
      <x:c r="K14" s="381" t="n">
        <x:v>1.3</x:v>
      </x:c>
      <x:c r="L14" s="363" t="n">
        <x:v>1.5</x:v>
      </x:c>
      <x:c r="M14" s="363" t="n">
        <x:v>1.1</x:v>
      </x:c>
      <x:c r="N14" s="363" t="n">
        <x:v>0</x:v>
      </x:c>
      <x:c r="O14" s="365" t="n">
        <x:f>ROUND(ROUND(ROUND(ROUND(ROUND(ROUND(ROUND(ROUND(ROUND(ROUND(C14*D14,0)*E14,0)/F14,0)*G14,0)*H14,0)*I14,0)*J14,0)*K14,0)*L14,0)*M14,0)+N14</x:f>
        <x:v>9207672</x:v>
      </x:c>
      <x:c r="P14" s="368" t="n">
        <x:f>ROUND(O14/$P$2,0)</x:f>
        <x:v>84</x:v>
      </x:c>
      <x:c r="Q14" s="12"/>
      <x:c r="R14" s="371" t="n">
        <x:v>6</x:v>
      </x:c>
      <x:c r="S14" s="374" t="n">
        <x:v>1</x:v>
      </x:c>
      <x:c r="T14" s="12"/>
      <x:c r="U14" s="12"/>
      <x:c r="V14" s="12"/>
      <x:c r="W14" s="12"/>
      <x:c r="X14" s="12"/>
      <x:c r="Y14" s="12"/>
      <x:c r="Z14" s="12"/>
      <x:c r="AA14" s="12"/>
      <x:c r="AB14" s="12"/>
    </x:row>
    <x:row r="15">
      <x:c r="A15" s="317" t="str">
        <x:v>신용실적 WAS</x:v>
      </x:c>
      <x:c r="B15" s="318" t="str">
        <x:v>신용실적 AP #01</x:v>
      </x:c>
      <x:c r="C15" s="363" t="n">
        <x:v>1234117</x:v>
      </x:c>
      <x:c r="D15" s="363" t="n">
        <x:v>2</x:v>
      </x:c>
      <x:c r="E15" s="381" t="n">
        <x:v>0.05</x:v>
      </x:c>
      <x:c r="F15" s="381" t="n">
        <x:v>0.6</x:v>
      </x:c>
      <x:c r="G15" s="381" t="n">
        <x:v>2</x:v>
      </x:c>
      <x:c r="H15" s="381" t="n">
        <x:v>1.1</x:v>
      </x:c>
      <x:c r="I15" s="381" t="n">
        <x:v>1.1</x:v>
      </x:c>
      <x:c r="J15" s="381" t="n">
        <x:v>1.1</x:v>
      </x:c>
      <x:c r="K15" s="381" t="n">
        <x:v>1.3</x:v>
      </x:c>
      <x:c r="L15" s="363" t="n">
        <x:v>1.5</x:v>
      </x:c>
      <x:c r="M15" s="363" t="n">
        <x:v>1.1</x:v>
      </x:c>
      <x:c r="N15" s="363" t="n">
        <x:v>0</x:v>
      </x:c>
      <x:c r="O15" s="365" t="n">
        <x:f>ROUND(ROUND(ROUND(ROUND(ROUND(ROUND(ROUND(ROUND(ROUND(ROUND(C15*D15,0)*E15,0)/F15,0)*G15,0)*H15,0)*I15,0)*J15,0)*K15,0)*L15,0)*M15,0)+N15</x:f>
        <x:v>1174469</x:v>
      </x:c>
      <x:c r="P15" s="368" t="n">
        <x:f>ROUND(O15/$P$2,0)</x:f>
        <x:v>11</x:v>
      </x:c>
      <x:c r="Q15" s="12"/>
      <x:c r="R15" s="371" t="n">
        <x:v>13</x:v>
      </x:c>
      <x:c r="S15" s="374" t="n">
        <x:v>1</x:v>
      </x:c>
      <x:c r="T15" s="12"/>
      <x:c r="U15" s="12"/>
      <x:c r="V15" s="12"/>
      <x:c r="W15" s="12"/>
      <x:c r="X15" s="12"/>
      <x:c r="Y15" s="12"/>
      <x:c r="Z15" s="12"/>
      <x:c r="AA15" s="12"/>
      <x:c r="AB15" s="12"/>
    </x:row>
    <x:row r="16">
      <x:c r="A16" s="317" t="str">
        <x:v>OLAP WAS</x:v>
      </x:c>
      <x:c r="B16" s="318" t="str">
        <x:v>OLAP WAS #01</x:v>
      </x:c>
      <x:c r="C16" s="363" t="n">
        <x:v>753120</x:v>
      </x:c>
      <x:c r="D16" s="363" t="n">
        <x:v>2</x:v>
      </x:c>
      <x:c r="E16" s="381" t="n">
        <x:v>0.1</x:v>
      </x:c>
      <x:c r="F16" s="381" t="n">
        <x:v>0.6</x:v>
      </x:c>
      <x:c r="G16" s="381" t="n">
        <x:v>2</x:v>
      </x:c>
      <x:c r="H16" s="381" t="n">
        <x:v>1.1</x:v>
      </x:c>
      <x:c r="I16" s="381" t="n">
        <x:v>1.1</x:v>
      </x:c>
      <x:c r="J16" s="381" t="n">
        <x:v>1.1</x:v>
      </x:c>
      <x:c r="K16" s="381" t="n">
        <x:v>1.3</x:v>
      </x:c>
      <x:c r="L16" s="363" t="n">
        <x:v>1.5</x:v>
      </x:c>
      <x:c r="M16" s="363" t="n">
        <x:v>1.1</x:v>
      </x:c>
      <x:c r="N16" s="363" t="n">
        <x:v>0</x:v>
      </x:c>
      <x:c r="O16" s="365" t="n">
        <x:f>ROUND(ROUND(ROUND(ROUND(ROUND(ROUND(ROUND(ROUND(ROUND(ROUND(C16*D16,0)*E16,0)/F16,0)*G16,0)*H16,0)*I16,0)*J16,0)*K16,0)*L16,0)*M16,0)+N16</x:f>
        <x:v>1433438</x:v>
      </x:c>
      <x:c r="P16" s="368" t="n">
        <x:f>ROUND(O16/$P$2,0)</x:f>
        <x:v>13</x:v>
      </x:c>
      <x:c r="Q16" s="12"/>
      <x:c r="R16" s="371" t="n">
        <x:v>13</x:v>
      </x:c>
      <x:c r="S16" s="374" t="n">
        <x:v>1</x:v>
      </x:c>
      <x:c r="T16" s="12"/>
      <x:c r="U16" s="12"/>
      <x:c r="V16" s="12"/>
      <x:c r="W16" s="12"/>
      <x:c r="X16" s="12"/>
      <x:c r="Y16" s="12"/>
      <x:c r="Z16" s="12"/>
      <x:c r="AA16" s="12"/>
      <x:c r="AB16" s="12"/>
    </x:row>
    <x:row r="17">
      <x:c r="A17" s="317" t="str">
        <x:v>OLAP AP</x:v>
      </x:c>
      <x:c r="B17" s="318" t="str">
        <x:v>OLAP AP #01</x:v>
      </x:c>
      <x:c r="C17" s="363" t="n">
        <x:v>4142160</x:v>
      </x:c>
      <x:c r="D17" s="363" t="n">
        <x:v>2</x:v>
      </x:c>
      <x:c r="E17" s="381" t="n">
        <x:v>0.15</x:v>
      </x:c>
      <x:c r="F17" s="381" t="n">
        <x:v>0.6</x:v>
      </x:c>
      <x:c r="G17" s="381" t="n">
        <x:v>1</x:v>
      </x:c>
      <x:c r="H17" s="381" t="n">
        <x:v>1</x:v>
      </x:c>
      <x:c r="I17" s="381" t="n">
        <x:v>1.2</x:v>
      </x:c>
      <x:c r="J17" s="381" t="n">
        <x:v>1.1</x:v>
      </x:c>
      <x:c r="K17" s="381" t="n">
        <x:v>1.3</x:v>
      </x:c>
      <x:c r="L17" s="363" t="n">
        <x:v>1.5</x:v>
      </x:c>
      <x:c r="M17" s="363" t="n">
        <x:v>1.1</x:v>
      </x:c>
      <x:c r="N17" s="363" t="n">
        <x:v>0</x:v>
      </x:c>
      <x:c r="O17" s="365" t="n">
        <x:f>ROUND(ROUND(ROUND(ROUND(ROUND(ROUND(ROUND(ROUND(ROUND(ROUND(C17*D17,0)*E17,0)/F17,0)*G17,0)*H17,0)*I17,0)*J17,0)*K17,0)*L17,0)*M17,0)+N17</x:f>
        <x:v>5864057</x:v>
      </x:c>
      <x:c r="P17" s="368" t="n">
        <x:f>ROUND(O17/$P$2,0)</x:f>
        <x:v>53</x:v>
      </x:c>
      <x:c r="Q17" s="12"/>
      <x:c r="R17" s="371" t="n">
        <x:v>80</x:v>
      </x:c>
      <x:c r="S17" s="374" t="n">
        <x:v>2</x:v>
      </x:c>
      <x:c r="T17" s="12"/>
      <x:c r="U17" s="12"/>
      <x:c r="V17" s="12"/>
      <x:c r="W17" s="12"/>
      <x:c r="X17" s="12"/>
      <x:c r="Y17" s="12"/>
      <x:c r="Z17" s="12"/>
      <x:c r="AA17" s="12"/>
      <x:c r="AB17" s="12"/>
    </x:row>
    <x:row r="18">
      <x:c r="A18" s="320" t="str">
        <x:v>ETL AP</x:v>
      </x:c>
      <x:c r="B18" s="321" t="str">
        <x:v>ODS, EDW(DB), OLAP(DB), CRM, 마케팅, 신용실적(DB), 연계뱅킹 : Job 비율 tpmC 기준</x:v>
      </x:c>
      <x:c r="C18" s="364" t="n">
        <x:v>8926066</x:v>
      </x:c>
      <x:c r="D18" s="364" t="n">
        <x:v>2</x:v>
      </x:c>
      <x:c r="E18" s="382" t="n">
        <x:v>0.15</x:v>
      </x:c>
      <x:c r="F18" s="382" t="n">
        <x:v>0.6</x:v>
      </x:c>
      <x:c r="G18" s="382" t="n">
        <x:v>1</x:v>
      </x:c>
      <x:c r="H18" s="382" t="n">
        <x:v>1</x:v>
      </x:c>
      <x:c r="I18" s="382" t="n">
        <x:v>1.2</x:v>
      </x:c>
      <x:c r="J18" s="382" t="n">
        <x:v>1.1</x:v>
      </x:c>
      <x:c r="K18" s="382" t="n">
        <x:v>1.3</x:v>
      </x:c>
      <x:c r="L18" s="364" t="n">
        <x:v>1.5</x:v>
      </x:c>
      <x:c r="M18" s="364" t="n">
        <x:v>1.1</x:v>
      </x:c>
      <x:c r="N18" s="364" t="n">
        <x:v>0</x:v>
      </x:c>
      <x:c r="O18" s="366" t="n">
        <x:f>ROUND(ROUND(ROUND(ROUND(ROUND(ROUND(ROUND(ROUND(ROUND(ROUND(C18*D18,0)*E18,0)/F18,0)*G18,0)*H18,0)*I18,0)*J18,0)*K18,0)*L18,0)*M18,0)+N18</x:f>
        <x:v>12636633</x:v>
      </x:c>
      <x:c r="P18" s="369" t="n">
        <x:f>ROUND(O18/$P$2,0)</x:f>
        <x:v>115</x:v>
      </x:c>
      <x:c r="Q18" s="12"/>
      <x:c r="R18" s="371" t="n">
        <x:v>40</x:v>
      </x:c>
      <x:c r="S18" s="374" t="n">
        <x:v>2</x:v>
      </x:c>
      <x:c r="T18" s="12"/>
      <x:c r="U18" s="12"/>
      <x:c r="V18" s="12"/>
      <x:c r="W18" s="12"/>
      <x:c r="X18" s="12"/>
      <x:c r="Y18" s="12"/>
      <x:c r="Z18" s="12"/>
      <x:c r="AA18" s="12"/>
      <x:c r="AB18" s="12"/>
    </x:row>
    <x:row r="19">
      <x:c r="A19" s="12"/>
      <x:c r="B19" s="12"/>
      <x:c r="C19" s="199"/>
      <x:c r="D19" s="199"/>
      <x:c r="E19" s="231"/>
      <x:c r="F19" s="231"/>
      <x:c r="G19" s="231"/>
      <x:c r="H19" s="231"/>
      <x:c r="I19" s="231"/>
      <x:c r="J19" s="231"/>
      <x:c r="K19" s="231"/>
      <x:c r="L19" s="199"/>
      <x:c r="M19" s="199"/>
      <x:c r="N19" s="199"/>
      <x:c r="O19" s="199"/>
      <x:c r="P19" s="199"/>
      <x:c r="Q19" s="12"/>
      <x:c r="R19" s="371" t="n">
        <x:v>108</x:v>
      </x:c>
      <x:c r="S19" s="374" t="n">
        <x:v>11</x:v>
      </x:c>
      <x:c r="T19" s="12"/>
      <x:c r="U19" s="12"/>
      <x:c r="V19" s="12"/>
      <x:c r="W19" s="12"/>
      <x:c r="X19" s="12"/>
      <x:c r="Y19" s="12"/>
      <x:c r="Z19" s="12"/>
      <x:c r="AA19" s="12"/>
      <x:c r="AB19" s="12"/>
    </x:row>
    <x:row r="20">
      <x:c r="A20" s="12"/>
      <x:c r="B20" s="12"/>
      <x:c r="C20" s="199"/>
      <x:c r="D20" s="199"/>
      <x:c r="E20" s="231"/>
      <x:c r="F20" s="231"/>
      <x:c r="G20" s="231"/>
      <x:c r="H20" s="231"/>
      <x:c r="I20" s="231"/>
      <x:c r="J20" s="231"/>
      <x:c r="K20" s="231"/>
      <x:c r="L20" s="199"/>
      <x:c r="M20" s="199"/>
      <x:c r="N20" s="199"/>
      <x:c r="O20" s="199"/>
      <x:c r="P20" s="199"/>
      <x:c r="Q20" s="12"/>
      <x:c r="R20" s="371" t="n">
        <x:v>108</x:v>
      </x:c>
      <x:c r="S20" s="374" t="n">
        <x:v>11</x:v>
      </x:c>
      <x:c r="T20" s="12"/>
      <x:c r="U20" s="12"/>
      <x:c r="V20" s="12"/>
      <x:c r="W20" s="12"/>
      <x:c r="X20" s="12"/>
      <x:c r="Y20" s="12"/>
      <x:c r="Z20" s="12"/>
      <x:c r="AA20" s="12"/>
      <x:c r="AB20" s="12"/>
    </x:row>
    <x:row r="21">
      <x:c r="A21" s="351" t="str">
        <x:v>3. DB 서버 용량산정 산식</x:v>
      </x:c>
      <x:c r="B21" s="12"/>
      <x:c r="C21" s="199"/>
      <x:c r="D21" s="199"/>
      <x:c r="E21" s="231"/>
      <x:c r="F21" s="231"/>
      <x:c r="G21" s="231"/>
      <x:c r="H21" s="231"/>
      <x:c r="I21" s="231"/>
      <x:c r="J21" s="231"/>
      <x:c r="K21" s="231"/>
      <x:c r="L21" s="199"/>
      <x:c r="M21" s="199"/>
      <x:c r="N21" s="199"/>
      <x:c r="O21" s="199"/>
      <x:c r="P21" s="199"/>
      <x:c r="Q21" s="12"/>
      <x:c r="R21" s="371" t="n">
        <x:v>108</x:v>
      </x:c>
      <x:c r="S21" s="374" t="n">
        <x:v>22</x:v>
      </x:c>
      <x:c r="T21" s="12"/>
      <x:c r="U21" s="12"/>
      <x:c r="V21" s="12"/>
      <x:c r="W21" s="12"/>
      <x:c r="X21" s="12"/>
      <x:c r="Y21" s="12"/>
      <x:c r="Z21" s="12"/>
      <x:c r="AA21" s="12"/>
      <x:c r="AB21" s="12"/>
    </x:row>
    <x:row r="22">
      <x:c r="A22" s="12"/>
      <x:c r="B22" s="12"/>
      <x:c r="C22" s="199"/>
      <x:c r="D22" s="199"/>
      <x:c r="E22" s="231"/>
      <x:c r="F22" s="231"/>
      <x:c r="G22" s="231"/>
      <x:c r="H22" s="231"/>
      <x:c r="I22" s="231"/>
      <x:c r="J22" s="231"/>
      <x:c r="K22" s="231"/>
      <x:c r="L22" s="199"/>
      <x:c r="M22" s="199"/>
      <x:c r="N22" s="199"/>
      <x:c r="O22" s="199"/>
      <x:c r="P22" s="199"/>
      <x:c r="Q22" s="12"/>
      <x:c r="R22" s="371" t="n">
        <x:v>108</x:v>
      </x:c>
      <x:c r="S22" s="374" t="n">
        <x:v>22</x:v>
      </x:c>
      <x:c r="T22" s="12"/>
      <x:c r="U22" s="12"/>
      <x:c r="V22" s="12"/>
      <x:c r="W22" s="12"/>
      <x:c r="X22" s="12"/>
      <x:c r="Y22" s="12"/>
      <x:c r="Z22" s="12"/>
      <x:c r="AA22" s="12"/>
      <x:c r="AB22" s="12"/>
    </x:row>
    <x:row r="23">
      <x:c r="A23" s="332" t="str">
        <x:v>대상</x:v>
      </x:c>
      <x:c r="B23" s="333" t="str">
        <x:v>AS-IS 기준 서버</x:v>
      </x:c>
      <x:c r="C23" s="362" t="str">
        <x:v>서버당 보유성능 tpmC</x:v>
      </x:c>
      <x:c r="D23" s="362" t="str">
        <x:v>서버 구성 수량</x:v>
      </x:c>
      <x:c r="E23" s="380" t="str">
        <x:v>CPU 사용률</x:v>
      </x:c>
      <x:c r="F23" s="380" t="str">
        <x:v>목표 사용률 60%</x:v>
      </x:c>
      <x:c r="G23" s="380" t="str">
        <x:v>데이터베이스 크기 보정 10~50%</x:v>
      </x:c>
      <x:c r="H23" s="380" t="str">
        <x:v>Java 가중치 보정 110%</x:v>
      </x:c>
      <x:c r="I23" s="380" t="str">
        <x:v>인터페이스 부하 조정 2~30%</x:v>
      </x:c>
      <x:c r="J23" s="380" t="str">
        <x:v>네트워크 부하 조정 10~100%</x:v>
      </x:c>
      <x:c r="K23" s="380" t="str">
        <x:v>클러스터 보정 30%</x:v>
      </x:c>
      <x:c r="L23" s="362" t="str">
        <x:v>CDC 업무 보정 20%</x:v>
      </x:c>
      <x:c r="M23" s="362" t="str">
        <x:v>향후 시스템 증가율 50%</x:v>
      </x:c>
      <x:c r="N23" s="362" t="str">
        <x:v>시스템 여유율 10~30%</x:v>
      </x:c>
      <x:c r="O23" s="362" t="str">
        <x:v>tpmC 산정 결과</x:v>
      </x:c>
      <x:c r="P23" s="367" t="str">
        <x:v>필요 Core 수량</x:v>
      </x:c>
      <x:c r="Q23" s="12"/>
      <x:c r="R23" s="377" t="str">
        <x:v>구성결과</x:v>
      </x:c>
      <x:c r="S23" s="379" t="str">
        <x:v>CPU보정</x:v>
      </x:c>
      <x:c r="T23" s="361" t="str">
        <x:v>목표사용률</x:v>
      </x:c>
      <x:c r="U23" s="361" t="str">
        <x:v>DB크기</x:v>
      </x:c>
      <x:c r="V23" s="361" t="str">
        <x:v>Java</x:v>
      </x:c>
      <x:c r="W23" s="361" t="str">
        <x:v>인터페이스</x:v>
      </x:c>
      <x:c r="X23" s="361" t="str">
        <x:v>네트워크</x:v>
      </x:c>
      <x:c r="Y23" s="361" t="str">
        <x:v>클러스터</x:v>
      </x:c>
      <x:c r="Z23" s="361" t="str">
        <x:v>CDC</x:v>
      </x:c>
      <x:c r="AA23" s="361" t="str">
        <x:v>향후증가</x:v>
      </x:c>
      <x:c r="AB23" s="360" t="str">
        <x:v>여유율</x:v>
      </x:c>
    </x:row>
    <x:row r="24">
      <x:c r="A24" s="317" t="str">
        <x:v>RDW</x:v>
      </x:c>
      <x:c r="B24" s="318" t="str">
        <x:v>ADW 기준의 50%</x:v>
      </x:c>
      <x:c r="C24" s="363" t="n">
        <x:v>2997998</x:v>
      </x:c>
      <x:c r="D24" s="363" t="n">
        <x:v>1</x:v>
      </x:c>
      <x:c r="E24" s="381" t="n">
        <x:v>0.85</x:v>
      </x:c>
      <x:c r="F24" s="381" t="n">
        <x:v>0.6</x:v>
      </x:c>
      <x:c r="G24" s="381" t="n">
        <x:v>1.3</x:v>
      </x:c>
      <x:c r="H24" s="381" t="n">
        <x:v>1.1</x:v>
      </x:c>
      <x:c r="I24" s="381" t="n">
        <x:v>1.2</x:v>
      </x:c>
      <x:c r="J24" s="381" t="n">
        <x:v>1.3</x:v>
      </x:c>
      <x:c r="K24" s="381" t="n">
        <x:v>1.3</x:v>
      </x:c>
      <x:c r="L24" s="363" t="n">
        <x:v>1.2</x:v>
      </x:c>
      <x:c r="M24" s="363" t="n">
        <x:v>1.5</x:v>
      </x:c>
      <x:c r="N24" s="363" t="n">
        <x:v>1.1</x:v>
      </x:c>
      <x:c r="O24" s="365" t="n">
        <x:f>AB24</x:f>
        <x:v>24387550</x:v>
      </x:c>
      <x:c r="P24" s="368" t="n">
        <x:f>ROUND(O24/$P$2,0)</x:f>
        <x:v>222</x:v>
      </x:c>
      <x:c r="Q24" s="12"/>
      <x:c r="R24" s="372" t="n">
        <x:f>ROUND(C24*D24,0)</x:f>
        <x:v>2997998</x:v>
      </x:c>
      <x:c r="S24" s="375" t="n">
        <x:f>ROUND(R24*E24,0)</x:f>
        <x:v>2548298</x:v>
      </x:c>
      <x:c r="T24" s="318" t="n">
        <x:f>ROUND(S24/F24,0)</x:f>
        <x:v>4247163</x:v>
      </x:c>
      <x:c r="U24" s="318" t="n">
        <x:f>ROUND(T24*G24,0)</x:f>
        <x:v>5521312</x:v>
      </x:c>
      <x:c r="V24" s="318" t="n">
        <x:f>ROUND(U24*H24,0)</x:f>
        <x:v>6073443</x:v>
      </x:c>
      <x:c r="W24" s="318" t="n">
        <x:f>ROUND(V24*I24,0)</x:f>
        <x:v>7288132</x:v>
      </x:c>
      <x:c r="X24" s="318" t="n">
        <x:f>ROUND(W24*J24,0)</x:f>
        <x:v>9474572</x:v>
      </x:c>
      <x:c r="Y24" s="318" t="n">
        <x:f>ROUND(X24*K24,0)</x:f>
        <x:v>12316944</x:v>
      </x:c>
      <x:c r="Z24" s="318" t="n">
        <x:f>ROUND(Y24*L24,0)</x:f>
        <x:v>14780333</x:v>
      </x:c>
      <x:c r="AA24" s="318" t="n">
        <x:f>ROUND(Z24*M24,0)</x:f>
        <x:v>22170500</x:v>
      </x:c>
      <x:c r="AB24" s="319" t="n">
        <x:f>ROUND(AA24*N24,0)</x:f>
        <x:v>24387550</x:v>
      </x:c>
    </x:row>
    <x:row r="25">
      <x:c r="A25" s="320" t="str">
        <x:v>ADW</x:v>
      </x:c>
      <x:c r="B25" s="321" t="str">
        <x:v>DW DB / ODS DB</x:v>
      </x:c>
      <x:c r="C25" s="364" t="n">
        <x:v>5995995</x:v>
      </x:c>
      <x:c r="D25" s="364" t="n">
        <x:v>1</x:v>
      </x:c>
      <x:c r="E25" s="382" t="n">
        <x:v>1</x:v>
      </x:c>
      <x:c r="F25" s="382" t="n">
        <x:v>0.6</x:v>
      </x:c>
      <x:c r="G25" s="382" t="n">
        <x:v>1.3</x:v>
      </x:c>
      <x:c r="H25" s="382" t="n">
        <x:v>1.1</x:v>
      </x:c>
      <x:c r="I25" s="382" t="n">
        <x:v>1.2</x:v>
      </x:c>
      <x:c r="J25" s="382" t="n">
        <x:v>1.3</x:v>
      </x:c>
      <x:c r="K25" s="382" t="n">
        <x:v>1.3</x:v>
      </x:c>
      <x:c r="L25" s="364" t="n">
        <x:v>1</x:v>
      </x:c>
      <x:c r="M25" s="364" t="n">
        <x:v>1.5</x:v>
      </x:c>
      <x:c r="N25" s="364" t="n">
        <x:v>1.1</x:v>
      </x:c>
      <x:c r="O25" s="366" t="n">
        <x:f>AB25</x:f>
        <x:v>47818722</x:v>
      </x:c>
      <x:c r="P25" s="369" t="n">
        <x:f>ROUND(O25/$P$2,0)</x:f>
        <x:v>435</x:v>
      </x:c>
      <x:c r="Q25" s="12"/>
      <x:c r="R25" s="372" t="n">
        <x:f>ROUND(C25*D25,0)</x:f>
        <x:v>5995995</x:v>
      </x:c>
      <x:c r="S25" s="364" t="n">
        <x:f>ROUND(R25*E25,0)</x:f>
        <x:v>5995995</x:v>
      </x:c>
      <x:c r="T25" s="321" t="n">
        <x:f>ROUND(S25/F25,0)</x:f>
        <x:v>9993325</x:v>
      </x:c>
      <x:c r="U25" s="321" t="n">
        <x:f>ROUND(T25*G25,0)</x:f>
        <x:v>12991323</x:v>
      </x:c>
      <x:c r="V25" s="321" t="n">
        <x:f>ROUND(U25*H25,0)</x:f>
        <x:v>14290455</x:v>
      </x:c>
      <x:c r="W25" s="321" t="n">
        <x:f>ROUND(V25*I25,0)</x:f>
        <x:v>17148546</x:v>
      </x:c>
      <x:c r="X25" s="321" t="n">
        <x:f>ROUND(W25*J25,0)</x:f>
        <x:v>22293110</x:v>
      </x:c>
      <x:c r="Y25" s="321" t="n">
        <x:f>ROUND(X25*K25,0)</x:f>
        <x:v>28981043</x:v>
      </x:c>
      <x:c r="Z25" s="321" t="n">
        <x:f>ROUND(Y25*L25,0)</x:f>
        <x:v>28981043</x:v>
      </x:c>
      <x:c r="AA25" s="321" t="n">
        <x:f>ROUND(Z25*M25,0)</x:f>
        <x:v>43471565</x:v>
      </x:c>
      <x:c r="AB25" s="322" t="n">
        <x:f>ROUND(AA25*N25,0)</x:f>
        <x:v>47818722</x:v>
      </x:c>
    </x:row>
    <x:row r="26">
      <x:c r="A26" s="12"/>
      <x:c r="B26" s="12"/>
      <x:c r="C26" s="199"/>
      <x:c r="D26" s="199"/>
      <x:c r="E26" s="231"/>
      <x:c r="F26" s="231"/>
      <x:c r="G26" s="231"/>
      <x:c r="H26" s="231"/>
      <x:c r="I26" s="231"/>
      <x:c r="J26" s="231"/>
      <x:c r="K26" s="231"/>
      <x:c r="L26" s="199"/>
      <x:c r="M26" s="199"/>
      <x:c r="N26" s="199"/>
      <x:c r="O26" s="199"/>
      <x:c r="P26" s="199"/>
      <x:c r="Q26" s="12"/>
      <x:c r="R26" s="199"/>
      <x:c r="S26" s="199"/>
      <x:c r="T26" s="12"/>
      <x:c r="U26" s="12"/>
      <x:c r="V26" s="12"/>
      <x:c r="W26" s="12"/>
      <x:c r="X26" s="12"/>
      <x:c r="Y26" s="12"/>
      <x:c r="Z26" s="12"/>
      <x:c r="AA26" s="12"/>
      <x:c r="AB26" s="12"/>
    </x:row>
    <x:row r="27">
      <x:c r="A27" s="12"/>
      <x:c r="B27" s="12"/>
      <x:c r="C27" s="199"/>
      <x:c r="D27" s="199"/>
      <x:c r="E27" s="231"/>
      <x:c r="F27" s="231"/>
      <x:c r="G27" s="231"/>
      <x:c r="H27" s="231"/>
      <x:c r="I27" s="231"/>
      <x:c r="J27" s="231"/>
      <x:c r="K27" s="231"/>
      <x:c r="L27" s="199"/>
      <x:c r="M27" s="199"/>
      <x:c r="N27" s="199"/>
      <x:c r="O27" s="199"/>
      <x:c r="P27" s="199"/>
      <x:c r="Q27" s="12"/>
      <x:c r="R27" s="376" t="str">
        <x:v>Disk 할당량(GB)</x:v>
      </x:c>
      <x:c r="S27" s="378" t="str">
        <x:v>Disk 사용량(GB)</x:v>
      </x:c>
      <x:c r="T27" s="12"/>
      <x:c r="U27" s="12"/>
      <x:c r="V27" s="12"/>
      <x:c r="W27" s="12"/>
      <x:c r="X27" s="12"/>
      <x:c r="Y27" s="12"/>
      <x:c r="Z27" s="12"/>
      <x:c r="AA27" s="12"/>
      <x:c r="AB27" s="12"/>
    </x:row>
    <x:row r="28">
      <x:c r="A28" s="12"/>
      <x:c r="B28" s="12"/>
      <x:c r="C28" s="199"/>
      <x:c r="D28" s="199"/>
      <x:c r="E28" s="231"/>
      <x:c r="F28" s="231"/>
      <x:c r="G28" s="231"/>
      <x:c r="H28" s="231"/>
      <x:c r="I28" s="231"/>
      <x:c r="J28" s="231"/>
      <x:c r="K28" s="231"/>
      <x:c r="L28" s="199"/>
      <x:c r="M28" s="199"/>
      <x:c r="N28" s="199"/>
      <x:c r="O28" s="199"/>
      <x:c r="P28" s="199"/>
      <x:c r="Q28" s="12"/>
      <x:c r="R28" s="371" t="n">
        <x:v>34682</x:v>
      </x:c>
      <x:c r="S28" s="374" t="n">
        <x:v>29179</x:v>
      </x:c>
      <x:c r="T28" s="12"/>
      <x:c r="U28" s="12"/>
      <x:c r="V28" s="12"/>
      <x:c r="W28" s="12"/>
      <x:c r="X28" s="12"/>
      <x:c r="Y28" s="12"/>
      <x:c r="Z28" s="12"/>
      <x:c r="AA28" s="12"/>
      <x:c r="AB28" s="12"/>
    </x:row>
    <x:row r="29">
      <x:c r="A29" s="12"/>
      <x:c r="B29" s="12"/>
      <x:c r="C29" s="199"/>
      <x:c r="D29" s="199"/>
      <x:c r="E29" s="231"/>
      <x:c r="F29" s="231"/>
      <x:c r="G29" s="231"/>
      <x:c r="H29" s="231"/>
      <x:c r="I29" s="231"/>
      <x:c r="J29" s="231"/>
      <x:c r="K29" s="231"/>
      <x:c r="L29" s="199"/>
      <x:c r="M29" s="199"/>
      <x:c r="N29" s="199"/>
      <x:c r="O29" s="199"/>
      <x:c r="P29" s="199"/>
      <x:c r="Q29" s="12"/>
      <x:c r="R29" s="372" t="n">
        <x:v>7144</x:v>
      </x:c>
      <x:c r="S29" s="375" t="n">
        <x:v>4819</x:v>
      </x:c>
      <x:c r="T29" s="12"/>
      <x:c r="U29" s="12"/>
      <x:c r="V29" s="12"/>
      <x:c r="W29" s="12"/>
      <x:c r="X29" s="12"/>
      <x:c r="Y29" s="12"/>
      <x:c r="Z29" s="12"/>
      <x:c r="AA29" s="12"/>
      <x:c r="AB29" s="12"/>
    </x:row>
  </x:sheetData>
  <x:mergeCells>
    <x:mergeCell ref="A1:M1"/>
    <x:mergeCell ref="A10:P10"/>
    <x:mergeCell ref="A21:P21"/>
  </x:mergeCells>
  <x:pageMargins left="0.7" right="0.7" top="0.75" bottom="0.75" header="0.3" footer="0.3"/>
</x:worksheet>
</file>