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g.JWS\Documents\B0.일기\2026-06-10 자산 EOS 자료 보고\"/>
    </mc:Choice>
  </mc:AlternateContent>
  <bookViews>
    <workbookView xWindow="0" yWindow="0" windowWidth="30720" windowHeight="12960" activeTab="7"/>
  </bookViews>
  <sheets>
    <sheet name="00_Dashboard" sheetId="1" r:id="rId1"/>
    <sheet name="01_EOS관리대장" sheetId="2" r:id="rId2"/>
    <sheet name="02_위험도평가" sheetId="3" r:id="rId3"/>
    <sheet name="03_조치계획" sheetId="4" r:id="rId4"/>
    <sheet name="04_예외승인" sheetId="5" r:id="rId5"/>
    <sheet name="05_월간보고" sheetId="6" r:id="rId6"/>
    <sheet name="06_코드기준표" sheetId="7" r:id="rId7"/>
    <sheet name="07_점검명령어" sheetId="8" r:id="rId8"/>
  </sheets>
  <calcPr calcId="162913"/>
</workbook>
</file>

<file path=xl/calcChain.xml><?xml version="1.0" encoding="utf-8"?>
<calcChain xmlns="http://schemas.openxmlformats.org/spreadsheetml/2006/main">
  <c r="C11" i="6" l="1"/>
  <c r="D11" i="6" s="1"/>
  <c r="C10" i="6"/>
  <c r="D10" i="6" s="1"/>
  <c r="C5" i="6"/>
  <c r="D5" i="6" s="1"/>
  <c r="L40" i="3"/>
  <c r="M40" i="3" s="1"/>
  <c r="U40" i="2" s="1"/>
  <c r="L39" i="3"/>
  <c r="M39" i="3" s="1"/>
  <c r="U39" i="2" s="1"/>
  <c r="L38" i="3"/>
  <c r="M38" i="3" s="1"/>
  <c r="U38" i="2" s="1"/>
  <c r="L37" i="3"/>
  <c r="M37" i="3" s="1"/>
  <c r="U37" i="2" s="1"/>
  <c r="L36" i="3"/>
  <c r="M36" i="3" s="1"/>
  <c r="U36" i="2" s="1"/>
  <c r="L35" i="3"/>
  <c r="M35" i="3" s="1"/>
  <c r="U35" i="2" s="1"/>
  <c r="L34" i="3"/>
  <c r="M34" i="3" s="1"/>
  <c r="U34" i="2" s="1"/>
  <c r="L33" i="3"/>
  <c r="M33" i="3" s="1"/>
  <c r="U33" i="2" s="1"/>
  <c r="L32" i="3"/>
  <c r="M32" i="3" s="1"/>
  <c r="U32" i="2" s="1"/>
  <c r="L31" i="3"/>
  <c r="M31" i="3" s="1"/>
  <c r="U31" i="2" s="1"/>
  <c r="L30" i="3"/>
  <c r="M30" i="3" s="1"/>
  <c r="U30" i="2" s="1"/>
  <c r="L29" i="3"/>
  <c r="M29" i="3" s="1"/>
  <c r="U29" i="2" s="1"/>
  <c r="L28" i="3"/>
  <c r="M28" i="3" s="1"/>
  <c r="U28" i="2" s="1"/>
  <c r="L27" i="3"/>
  <c r="M27" i="3" s="1"/>
  <c r="U27" i="2" s="1"/>
  <c r="L26" i="3"/>
  <c r="M26" i="3" s="1"/>
  <c r="U26" i="2" s="1"/>
  <c r="L25" i="3"/>
  <c r="M25" i="3" s="1"/>
  <c r="U25" i="2" s="1"/>
  <c r="L24" i="3"/>
  <c r="M24" i="3" s="1"/>
  <c r="U24" i="2" s="1"/>
  <c r="L23" i="3"/>
  <c r="M23" i="3" s="1"/>
  <c r="U23" i="2" s="1"/>
  <c r="L22" i="3"/>
  <c r="M22" i="3" s="1"/>
  <c r="U22" i="2" s="1"/>
  <c r="L21" i="3"/>
  <c r="M21" i="3" s="1"/>
  <c r="U21" i="2" s="1"/>
  <c r="L20" i="3"/>
  <c r="M20" i="3" s="1"/>
  <c r="U20" i="2" s="1"/>
  <c r="L19" i="3"/>
  <c r="M19" i="3" s="1"/>
  <c r="U19" i="2" s="1"/>
  <c r="L18" i="3"/>
  <c r="M18" i="3" s="1"/>
  <c r="U18" i="2" s="1"/>
  <c r="L17" i="3"/>
  <c r="M17" i="3" s="1"/>
  <c r="U17" i="2" s="1"/>
  <c r="L16" i="3"/>
  <c r="M16" i="3" s="1"/>
  <c r="U16" i="2" s="1"/>
  <c r="L15" i="3"/>
  <c r="M15" i="3" s="1"/>
  <c r="U15" i="2" s="1"/>
  <c r="L14" i="3"/>
  <c r="M14" i="3" s="1"/>
  <c r="U14" i="2" s="1"/>
  <c r="L13" i="3"/>
  <c r="M13" i="3" s="1"/>
  <c r="U13" i="2" s="1"/>
  <c r="L12" i="3"/>
  <c r="M12" i="3" s="1"/>
  <c r="U12" i="2" s="1"/>
  <c r="L11" i="3"/>
  <c r="M11" i="3" s="1"/>
  <c r="U11" i="2" s="1"/>
  <c r="L10" i="3"/>
  <c r="M10" i="3" s="1"/>
  <c r="U10" i="2" s="1"/>
  <c r="L9" i="3"/>
  <c r="M9" i="3" s="1"/>
  <c r="U9" i="2" s="1"/>
  <c r="L8" i="3"/>
  <c r="M8" i="3" s="1"/>
  <c r="U8" i="2" s="1"/>
  <c r="L7" i="3"/>
  <c r="M7" i="3" s="1"/>
  <c r="U7" i="2" s="1"/>
  <c r="L6" i="3"/>
  <c r="M6" i="3" s="1"/>
  <c r="U6" i="2" s="1"/>
  <c r="L5" i="3"/>
  <c r="M5" i="3" s="1"/>
  <c r="U5" i="2" s="1"/>
  <c r="T40" i="2"/>
  <c r="L19" i="1" s="1"/>
  <c r="S40" i="2"/>
  <c r="T39" i="2"/>
  <c r="S39" i="2"/>
  <c r="T38" i="2"/>
  <c r="S38" i="2"/>
  <c r="T37" i="2"/>
  <c r="S37" i="2"/>
  <c r="T36" i="2"/>
  <c r="L18" i="1" s="1"/>
  <c r="S36" i="2"/>
  <c r="T35" i="2"/>
  <c r="L16" i="1" s="1"/>
  <c r="S35" i="2"/>
  <c r="T34" i="2"/>
  <c r="S34" i="2"/>
  <c r="T33" i="2"/>
  <c r="S33" i="2"/>
  <c r="T32" i="2"/>
  <c r="S32" i="2"/>
  <c r="T31" i="2"/>
  <c r="S31" i="2"/>
  <c r="T30" i="2"/>
  <c r="L20" i="1" s="1"/>
  <c r="S30" i="2"/>
  <c r="T29" i="2"/>
  <c r="S29" i="2"/>
  <c r="T28" i="2"/>
  <c r="L22" i="1" s="1"/>
  <c r="S28" i="2"/>
  <c r="T27" i="2"/>
  <c r="S27" i="2"/>
  <c r="T26" i="2"/>
  <c r="S26" i="2"/>
  <c r="T25" i="2"/>
  <c r="L14" i="1" s="1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L15" i="1" s="1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L23" i="1" s="1"/>
  <c r="S8" i="2"/>
  <c r="T7" i="2"/>
  <c r="S7" i="2"/>
  <c r="T6" i="2"/>
  <c r="S6" i="2"/>
  <c r="T5" i="2"/>
  <c r="S5" i="2"/>
  <c r="L25" i="1"/>
  <c r="K25" i="1"/>
  <c r="L24" i="1"/>
  <c r="K24" i="1"/>
  <c r="K23" i="1"/>
  <c r="J23" i="1"/>
  <c r="E23" i="1"/>
  <c r="K22" i="1"/>
  <c r="J22" i="1"/>
  <c r="E22" i="1"/>
  <c r="K21" i="1"/>
  <c r="J21" i="1"/>
  <c r="E21" i="1"/>
  <c r="K20" i="1"/>
  <c r="J20" i="1"/>
  <c r="E20" i="1"/>
  <c r="K19" i="1"/>
  <c r="J19" i="1"/>
  <c r="E19" i="1"/>
  <c r="K18" i="1"/>
  <c r="J18" i="1"/>
  <c r="E18" i="1"/>
  <c r="L17" i="1"/>
  <c r="K17" i="1"/>
  <c r="J17" i="1"/>
  <c r="E17" i="1"/>
  <c r="K16" i="1"/>
  <c r="J16" i="1"/>
  <c r="E16" i="1"/>
  <c r="K15" i="1"/>
  <c r="J15" i="1"/>
  <c r="E15" i="1"/>
  <c r="K14" i="1"/>
  <c r="J14" i="1"/>
  <c r="E14" i="1"/>
  <c r="L13" i="1"/>
  <c r="K13" i="1"/>
  <c r="J13" i="1"/>
  <c r="E13" i="1"/>
  <c r="L12" i="1"/>
  <c r="K12" i="1"/>
  <c r="J12" i="1"/>
  <c r="E12" i="1"/>
  <c r="K11" i="1"/>
  <c r="J11" i="1"/>
  <c r="E11" i="1"/>
  <c r="G6" i="1"/>
  <c r="F6" i="1"/>
  <c r="E6" i="1"/>
  <c r="A6" i="1"/>
  <c r="L21" i="1" l="1"/>
  <c r="L11" i="1"/>
  <c r="C6" i="6"/>
  <c r="D6" i="6" s="1"/>
  <c r="B6" i="1"/>
  <c r="F23" i="1"/>
  <c r="I23" i="1"/>
  <c r="H23" i="1"/>
  <c r="G23" i="1"/>
  <c r="I16" i="1"/>
  <c r="H16" i="1"/>
  <c r="G16" i="1"/>
  <c r="F16" i="1"/>
  <c r="I11" i="1"/>
  <c r="H11" i="1"/>
  <c r="G11" i="1"/>
  <c r="F11" i="1"/>
  <c r="I21" i="1"/>
  <c r="H21" i="1"/>
  <c r="G21" i="1"/>
  <c r="F21" i="1"/>
  <c r="H18" i="1"/>
  <c r="I18" i="1"/>
  <c r="G18" i="1"/>
  <c r="F18" i="1"/>
  <c r="F14" i="1"/>
  <c r="G14" i="1"/>
  <c r="I14" i="1"/>
  <c r="H14" i="1"/>
  <c r="F17" i="1"/>
  <c r="G17" i="1"/>
  <c r="I17" i="1"/>
  <c r="H17" i="1"/>
  <c r="H12" i="1"/>
  <c r="G12" i="1"/>
  <c r="F12" i="1"/>
  <c r="I12" i="1"/>
  <c r="I22" i="1"/>
  <c r="H22" i="1"/>
  <c r="G22" i="1"/>
  <c r="F22" i="1"/>
  <c r="I13" i="1"/>
  <c r="H13" i="1"/>
  <c r="G13" i="1"/>
  <c r="F13" i="1"/>
  <c r="I19" i="1"/>
  <c r="H19" i="1"/>
  <c r="G19" i="1"/>
  <c r="F19" i="1"/>
  <c r="B11" i="1"/>
  <c r="C9" i="6"/>
  <c r="D9" i="6" s="1"/>
  <c r="B14" i="1"/>
  <c r="C8" i="6"/>
  <c r="D8" i="6" s="1"/>
  <c r="B12" i="1"/>
  <c r="D6" i="1"/>
  <c r="C7" i="6"/>
  <c r="D7" i="6" s="1"/>
  <c r="C6" i="1"/>
  <c r="B13" i="1"/>
  <c r="H15" i="1"/>
  <c r="I15" i="1"/>
  <c r="F15" i="1"/>
  <c r="G15" i="1"/>
  <c r="F20" i="1"/>
  <c r="I20" i="1"/>
  <c r="H20" i="1"/>
  <c r="G20" i="1"/>
</calcChain>
</file>

<file path=xl/sharedStrings.xml><?xml version="1.0" encoding="utf-8"?>
<sst xmlns="http://schemas.openxmlformats.org/spreadsheetml/2006/main" count="1939" uniqueCount="700">
  <si>
    <t>농협상호금융 정보계 EOS 자원관리 Dashboard</t>
  </si>
  <si>
    <t>대상 기준: WebTopSuite → GSLB/L4 → Apache/Nginx → Tomcat/Spring Boot → CruzAPIM → RDW/ADW → Kafka/CDC → DataStage/ETL → BI → 보안/운영/DevOps 전 영역</t>
  </si>
  <si>
    <t>1. EOS 관리 현황 KPI</t>
  </si>
  <si>
    <t>총 자원</t>
  </si>
  <si>
    <t>위험 상태</t>
  </si>
  <si>
    <t>Critical</t>
  </si>
  <si>
    <t>High</t>
  </si>
  <si>
    <t>예외 필요</t>
  </si>
  <si>
    <t>진행중</t>
  </si>
  <si>
    <t>금월 목표조치</t>
  </si>
  <si>
    <t>2. 위험등급 분포</t>
  </si>
  <si>
    <t>3. NSIGHT 영역별 EOS 현황</t>
  </si>
  <si>
    <t>위험등급</t>
  </si>
  <si>
    <t>건수</t>
  </si>
  <si>
    <t>NSIGHT영역</t>
  </si>
  <si>
    <t>대상수</t>
  </si>
  <si>
    <t>Medium</t>
  </si>
  <si>
    <t>Low</t>
  </si>
  <si>
    <t>예외필요</t>
  </si>
  <si>
    <t>위험상태</t>
  </si>
  <si>
    <t>비고</t>
  </si>
  <si>
    <t>AP</t>
  </si>
  <si>
    <t>BI/분석</t>
  </si>
  <si>
    <t>Backup/DR</t>
  </si>
  <si>
    <t>Batch/ETL</t>
  </si>
  <si>
    <t>Data Platform</t>
  </si>
  <si>
    <t>DevOps</t>
  </si>
  <si>
    <t>Integration</t>
  </si>
  <si>
    <t>Library</t>
  </si>
  <si>
    <t>Network</t>
  </si>
  <si>
    <t>Observability</t>
  </si>
  <si>
    <t>Realtime/Event</t>
  </si>
  <si>
    <t>Security</t>
  </si>
  <si>
    <t>4. 우선 조치 대상 Top 10</t>
  </si>
  <si>
    <t>WEB</t>
  </si>
  <si>
    <t>순위</t>
  </si>
  <si>
    <t>자원ID</t>
  </si>
  <si>
    <t>영역</t>
  </si>
  <si>
    <t>시스템/서비스</t>
  </si>
  <si>
    <t>제품명</t>
  </si>
  <si>
    <t>현재버전</t>
  </si>
  <si>
    <t>조치유형</t>
  </si>
  <si>
    <t>목표조치일</t>
  </si>
  <si>
    <t>담당조직</t>
  </si>
  <si>
    <t>EOS-NSI-2026-023</t>
  </si>
  <si>
    <t>SSO/IAM</t>
  </si>
  <si>
    <t>SSO Solution</t>
  </si>
  <si>
    <t>v7.x</t>
  </si>
  <si>
    <t>Upgrade</t>
  </si>
  <si>
    <t>보안팀</t>
  </si>
  <si>
    <t>EOS-NSI-2026-024</t>
  </si>
  <si>
    <t>DB 접근제어</t>
  </si>
  <si>
    <t>DB Access Control</t>
  </si>
  <si>
    <t>v6.x</t>
  </si>
  <si>
    <t>EOS-NSI-2026-025</t>
  </si>
  <si>
    <t>WAF</t>
  </si>
  <si>
    <t>WAF Appliance</t>
  </si>
  <si>
    <t>OS 11.x</t>
  </si>
  <si>
    <t>EOS-NSI-2026-002</t>
  </si>
  <si>
    <t>접속/라우팅</t>
  </si>
  <si>
    <t>GSLB</t>
  </si>
  <si>
    <t>GSLB Appliance</t>
  </si>
  <si>
    <t>OS 12.x</t>
  </si>
  <si>
    <t>네트워크팀</t>
  </si>
  <si>
    <t>EOS-NSI-2026-003</t>
  </si>
  <si>
    <t>센터 L4</t>
  </si>
  <si>
    <t>L4 Load Balancer</t>
  </si>
  <si>
    <t>OS 13.x</t>
  </si>
  <si>
    <t>EOS-NSI-2026-008</t>
  </si>
  <si>
    <t>마케팅 AP</t>
  </si>
  <si>
    <t>OpenJDK</t>
  </si>
  <si>
    <t>8u202</t>
  </si>
  <si>
    <t>AP개발팀</t>
  </si>
  <si>
    <t>EOS-NSI-2026-009</t>
  </si>
  <si>
    <t>싱글뷰 AP</t>
  </si>
  <si>
    <t>Apache Tomcat</t>
  </si>
  <si>
    <t>8.5.x</t>
  </si>
  <si>
    <t>WEB/WAS팀</t>
  </si>
  <si>
    <t>EOS-NSI-2026-004</t>
  </si>
  <si>
    <t>Apache Reverse Proxy</t>
  </si>
  <si>
    <t>Apache HTTP Server</t>
  </si>
  <si>
    <t>2.4.x-구버전</t>
  </si>
  <si>
    <t>EOS-NSI-2026-005</t>
  </si>
  <si>
    <t>Nginx Proxy</t>
  </si>
  <si>
    <t>Nginx</t>
  </si>
  <si>
    <t>1.20.x</t>
  </si>
  <si>
    <t>EOS-NSI-2026-006</t>
  </si>
  <si>
    <t>RHEL</t>
  </si>
  <si>
    <t>7.x</t>
  </si>
  <si>
    <t>인프라팀</t>
  </si>
  <si>
    <t>농협상호금융 정보계 EOS 자원 관리대장</t>
  </si>
  <si>
    <t>※ 본 데이터는 NSIGHT 정보계 아키텍처 영역을 기준으로 작성한 샘플입니다. 실제 EOS일자와 지원정책은 반드시 벤더 공식 Lifecycle 문서, 유지보수 계약서, 내부 표준환경 기준으로 검증해야 합니다.</t>
  </si>
  <si>
    <t>No</t>
  </si>
  <si>
    <t>업무/Runtime</t>
  </si>
  <si>
    <t>자원구분</t>
  </si>
  <si>
    <t>목표표준버전</t>
  </si>
  <si>
    <t>설치위치/논리자원</t>
  </si>
  <si>
    <t>환경</t>
  </si>
  <si>
    <t>운영센터</t>
  </si>
  <si>
    <t>벤더/공급사</t>
  </si>
  <si>
    <t>EOS일자</t>
  </si>
  <si>
    <t>EOL일자</t>
  </si>
  <si>
    <t>계약종료일</t>
  </si>
  <si>
    <t>공식근거/확인자료</t>
  </si>
  <si>
    <t>잔여일수</t>
  </si>
  <si>
    <t>현재상태</t>
  </si>
  <si>
    <t>조치상태</t>
  </si>
  <si>
    <t>예외승인여부</t>
  </si>
  <si>
    <t>EOS-NSI-2026-001</t>
  </si>
  <si>
    <t>채널/단말</t>
  </si>
  <si>
    <t>WebTopSuite 단말</t>
  </si>
  <si>
    <t>온라인 채널</t>
  </si>
  <si>
    <t>CHANNEL</t>
  </si>
  <si>
    <t>WebTopSuite Runtime</t>
  </si>
  <si>
    <t>v3.x</t>
  </si>
  <si>
    <t>벤더 지원버전</t>
  </si>
  <si>
    <t>영업점 단말</t>
  </si>
  <si>
    <t>PROD</t>
  </si>
  <si>
    <t>전지점</t>
  </si>
  <si>
    <t>채널운영팀</t>
  </si>
  <si>
    <t>공급사</t>
  </si>
  <si>
    <t>벤더 Lifecycle/계약서 확인 필요</t>
  </si>
  <si>
    <t>계획수립</t>
  </si>
  <si>
    <t>필요</t>
  </si>
  <si>
    <t>전 지점 배포 영향. 중앙+권역 캐시 배포전략 필요</t>
  </si>
  <si>
    <t>센터 라우팅</t>
  </si>
  <si>
    <t>NET</t>
  </si>
  <si>
    <t>OS 15.x 이상</t>
  </si>
  <si>
    <t>DC/DR GSLB</t>
  </si>
  <si>
    <t>양센터</t>
  </si>
  <si>
    <t>장비벤더</t>
  </si>
  <si>
    <t>장비 벤더 공문 확인 필요</t>
  </si>
  <si>
    <t>불필요</t>
  </si>
  <si>
    <t>DNS TTL/Health Check/센터전환 정책 동시 검증</t>
  </si>
  <si>
    <t>L4 분산</t>
  </si>
  <si>
    <t>센터별 L4 VIP</t>
  </si>
  <si>
    <t>장비 벤더 Lifecycle 확인 필요</t>
  </si>
  <si>
    <t>Sticky/Persistence/Idle Timeout 정합성 확인</t>
  </si>
  <si>
    <t>온라인 WEB</t>
  </si>
  <si>
    <t>2.4 최신 패치</t>
  </si>
  <si>
    <t>web-prd-01~04</t>
  </si>
  <si>
    <t>Apache</t>
  </si>
  <si>
    <t>공식 릴리즈/보안공지 확인 필요</t>
  </si>
  <si>
    <t>mod_proxy, SSL, access log GUID 포함 검증</t>
  </si>
  <si>
    <t>1.26 이상</t>
  </si>
  <si>
    <t>web-prd-05~06</t>
  </si>
  <si>
    <t>주센터</t>
  </si>
  <si>
    <t>공식 릴리즈/패키지 저장소 확인 필요</t>
  </si>
  <si>
    <t>미착수</t>
  </si>
  <si>
    <t>Apache 병행 사용 구간 정리 필요</t>
  </si>
  <si>
    <t>온라인</t>
  </si>
  <si>
    <t>OS</t>
  </si>
  <si>
    <t>RHEL 9.x</t>
  </si>
  <si>
    <t>mkt-ap-prd-01~08</t>
  </si>
  <si>
    <t>Red Hat</t>
  </si>
  <si>
    <t>Subscription/Lifecycle 확인 필요</t>
  </si>
  <si>
    <t>Rolling 방식 OS 전환. AP 8vCPU/32GB 기준</t>
  </si>
  <si>
    <t>EOS-NSI-2026-007</t>
  </si>
  <si>
    <t>온라인 Single View</t>
  </si>
  <si>
    <t>sv-ap-prd-01~10</t>
  </si>
  <si>
    <t>RDW 조회 성능 영향. 성능 재검증 필요</t>
  </si>
  <si>
    <t>JDK</t>
  </si>
  <si>
    <t>JDK 21</t>
  </si>
  <si>
    <t>OpenJDK Vendor</t>
  </si>
  <si>
    <t>JDK 배포판 지원정책 확인 필요</t>
  </si>
  <si>
    <t>Spring Boot/라이브러리 호환성 동시 점검</t>
  </si>
  <si>
    <t>WAS</t>
  </si>
  <si>
    <t>Tomcat 10.1</t>
  </si>
  <si>
    <t>Tomcat Lifecycle/보안공지 확인 필요</t>
  </si>
  <si>
    <t>Jakarta namespace, 세션 DeltaManager, jvmRoute 재검증</t>
  </si>
  <si>
    <t>EOS-NSI-2026-010</t>
  </si>
  <si>
    <t>실시간처리 AP</t>
  </si>
  <si>
    <t>이벤트/실시간</t>
  </si>
  <si>
    <t>9.0.x-구버전</t>
  </si>
  <si>
    <t>rt-ap-prd-01~04</t>
  </si>
  <si>
    <t>Kafka Consumer 재기동 영향도 확인</t>
  </si>
  <si>
    <t>EOS-NSI-2026-011</t>
  </si>
  <si>
    <t>EBM 엔진 AP</t>
  </si>
  <si>
    <t>이벤트 판단</t>
  </si>
  <si>
    <t>FMW</t>
  </si>
  <si>
    <t>Spring Boot</t>
  </si>
  <si>
    <t>2.7.x</t>
  </si>
  <si>
    <t>3.3 이상</t>
  </si>
  <si>
    <t>ebm-ap-prd-01~04</t>
  </si>
  <si>
    <t>Spring</t>
  </si>
  <si>
    <t>Spring 프로젝트 지원정책 확인 필요</t>
  </si>
  <si>
    <t>JDK 21/Tomcat 10.1/Jakarta 전환과 묶어서 수행</t>
  </si>
  <si>
    <t>EOS-NSI-2026-012</t>
  </si>
  <si>
    <t>공통 프레임워크</t>
  </si>
  <si>
    <t>온라인 공통</t>
  </si>
  <si>
    <t>Spring Framework</t>
  </si>
  <si>
    <t>5.x</t>
  </si>
  <si>
    <t>6.x</t>
  </si>
  <si>
    <t>공통 라이브러리</t>
  </si>
  <si>
    <t>공통</t>
  </si>
  <si>
    <t>공통 예외/로그/TransactionConfig 영향</t>
  </si>
  <si>
    <t>EOS-NSI-2026-013</t>
  </si>
  <si>
    <t>MyBatis Mapper</t>
  </si>
  <si>
    <t>DB 접근</t>
  </si>
  <si>
    <t>MyBatis</t>
  </si>
  <si>
    <t>3.5.x-구버전</t>
  </si>
  <si>
    <t>3.5 최신</t>
  </si>
  <si>
    <t>공통 DAO</t>
  </si>
  <si>
    <t>공식 릴리즈/취약점 확인 필요</t>
  </si>
  <si>
    <t>SQL Timeout, Fetch Size 기준 동시 점검</t>
  </si>
  <si>
    <t>EOS-NSI-2026-014</t>
  </si>
  <si>
    <t>RDW</t>
  </si>
  <si>
    <t>현행성 조회</t>
  </si>
  <si>
    <t>DBMS</t>
  </si>
  <si>
    <t>Oracle Database</t>
  </si>
  <si>
    <t>19c</t>
  </si>
  <si>
    <t>벤더 표준지원 버전</t>
  </si>
  <si>
    <t>rdw-prd</t>
  </si>
  <si>
    <t>DBA</t>
  </si>
  <si>
    <t>Oracle</t>
  </si>
  <si>
    <t>DBMS 지원계약 확인 필요</t>
  </si>
  <si>
    <t>Extended Support</t>
  </si>
  <si>
    <t>Single View 핵심. Extended Support/업그레이드 병행 검토</t>
  </si>
  <si>
    <t>EOS-NSI-2026-015</t>
  </si>
  <si>
    <t>ADW</t>
  </si>
  <si>
    <t>분석/BI</t>
  </si>
  <si>
    <t>adw-prd</t>
  </si>
  <si>
    <t>BI/분석성 SQL 영향. ADW 적재 테스트 필요</t>
  </si>
  <si>
    <t>EOS-NSI-2026-016</t>
  </si>
  <si>
    <t>RDW JDBC Driver</t>
  </si>
  <si>
    <t>LIB</t>
  </si>
  <si>
    <t>Oracle JDBC Driver</t>
  </si>
  <si>
    <t>ojdbc8 구버전</t>
  </si>
  <si>
    <t>ojdbc11/표준</t>
  </si>
  <si>
    <t>AP lib</t>
  </si>
  <si>
    <t>Driver 릴리즈노트/보안공지 확인 필요</t>
  </si>
  <si>
    <t>JDK 21 전환과 동시 검증</t>
  </si>
  <si>
    <t>EOS-NSI-2026-017</t>
  </si>
  <si>
    <t>CruzAPIM 연계</t>
  </si>
  <si>
    <t>API Integration</t>
  </si>
  <si>
    <t>MW</t>
  </si>
  <si>
    <t>CruzAPIM</t>
  </si>
  <si>
    <t>구버전</t>
  </si>
  <si>
    <t>apim-prd</t>
  </si>
  <si>
    <t>연계팀</t>
  </si>
  <si>
    <t>공급사 유지보수 계약 확인 필요</t>
  </si>
  <si>
    <t>Timeout, Retry, Header/GUID 계약 검증</t>
  </si>
  <si>
    <t>EOS-NSI-2026-018</t>
  </si>
  <si>
    <t>FOS/MFT</t>
  </si>
  <si>
    <t>파일 연계</t>
  </si>
  <si>
    <t>MFT/FOS</t>
  </si>
  <si>
    <t>v5.x</t>
  </si>
  <si>
    <t>mft-prd</t>
  </si>
  <si>
    <t>외부기관 파일 송수신 스케줄 영향 분석</t>
  </si>
  <si>
    <t>EOS-NSI-2026-019</t>
  </si>
  <si>
    <t>Kafka Broker</t>
  </si>
  <si>
    <t>이벤트 스트리밍</t>
  </si>
  <si>
    <t>Apache Kafka</t>
  </si>
  <si>
    <t>2.x</t>
  </si>
  <si>
    <t>3.x 표준</t>
  </si>
  <si>
    <t>kafka-prd-01~05</t>
  </si>
  <si>
    <t>이벤트팀</t>
  </si>
  <si>
    <t>Apache/공급사</t>
  </si>
  <si>
    <t>Kafka 배포판 지원정책 확인 필요</t>
  </si>
  <si>
    <t>CDC/Kafka/Consumer Lag 성능검증 필요</t>
  </si>
  <si>
    <t>EOS-NSI-2026-020</t>
  </si>
  <si>
    <t>CDC Agent</t>
  </si>
  <si>
    <t>실시간 변경감지</t>
  </si>
  <si>
    <t>CDC Solution</t>
  </si>
  <si>
    <t>v10.x</t>
  </si>
  <si>
    <t>cdc-prd</t>
  </si>
  <si>
    <t>데이터연계팀</t>
  </si>
  <si>
    <t>원천 DB LogMiner/권한 영향 확인</t>
  </si>
  <si>
    <t>EOS-NSI-2026-021</t>
  </si>
  <si>
    <t>DataStage ETL</t>
  </si>
  <si>
    <t>대량배치/적재</t>
  </si>
  <si>
    <t>ETL</t>
  </si>
  <si>
    <t>IBM DataStage</t>
  </si>
  <si>
    <t>etl-prd</t>
  </si>
  <si>
    <t>ETL팀</t>
  </si>
  <si>
    <t>IBM</t>
  </si>
  <si>
    <t>IBM Lifecycle/계약서 확인 필요</t>
  </si>
  <si>
    <t>RDW→ADW 적재, 대사, 스케줄 영향</t>
  </si>
  <si>
    <t>EOS-NSI-2026-022</t>
  </si>
  <si>
    <t>BI Portal</t>
  </si>
  <si>
    <t>BI 조회</t>
  </si>
  <si>
    <t>TOOL</t>
  </si>
  <si>
    <t>BI Portal Solution</t>
  </si>
  <si>
    <t>v4.x</t>
  </si>
  <si>
    <t>bi-prd</t>
  </si>
  <si>
    <t>BI팀</t>
  </si>
  <si>
    <t>ADW 분석 조회 및 권한/마스킹 검증</t>
  </si>
  <si>
    <t>인증/인가</t>
  </si>
  <si>
    <t>SEC</t>
  </si>
  <si>
    <t>sso-prd</t>
  </si>
  <si>
    <t>WebTopSuite/권한/세션 연계 영향</t>
  </si>
  <si>
    <t>DB 보안</t>
  </si>
  <si>
    <t>dbsec-prd</t>
  </si>
  <si>
    <t>RDW/ADW 계정·권한 정책 동시 점검</t>
  </si>
  <si>
    <t>WEB 보안</t>
  </si>
  <si>
    <t>waf-prd</t>
  </si>
  <si>
    <t>Apache/Nginx/TLS 정책 연계 검증</t>
  </si>
  <si>
    <t>EOS-NSI-2026-026</t>
  </si>
  <si>
    <t>APM</t>
  </si>
  <si>
    <t>모니터링</t>
  </si>
  <si>
    <t>APM Agent/Server</t>
  </si>
  <si>
    <t>apm-prd</t>
  </si>
  <si>
    <t>운영팀</t>
  </si>
  <si>
    <t>GUID/TraceId/성능지표 수집 영향</t>
  </si>
  <si>
    <t>EOS-NSI-2026-027</t>
  </si>
  <si>
    <t>로그수집/검색</t>
  </si>
  <si>
    <t>로그/감사</t>
  </si>
  <si>
    <t>Log Platform</t>
  </si>
  <si>
    <t>8.x 이상</t>
  </si>
  <si>
    <t>log-prd</t>
  </si>
  <si>
    <t>거래로그/감사로그 보관 정책 확인</t>
  </si>
  <si>
    <t>EOS-NSI-2026-028</t>
  </si>
  <si>
    <t>GitLab</t>
  </si>
  <si>
    <t>형상관리</t>
  </si>
  <si>
    <t>지원버전</t>
  </si>
  <si>
    <t>gitlab-prd</t>
  </si>
  <si>
    <t>DevOps팀</t>
  </si>
  <si>
    <t>GitLab 릴리즈/지원정책 확인 필요</t>
  </si>
  <si>
    <t>CI/CD Runner 호환성 확인</t>
  </si>
  <si>
    <t>EOS-NSI-2026-029</t>
  </si>
  <si>
    <t>Jenkins</t>
  </si>
  <si>
    <t>CI/CD</t>
  </si>
  <si>
    <t>2.x-구버전</t>
  </si>
  <si>
    <t>LTS 최신</t>
  </si>
  <si>
    <t>jenkins-prd</t>
  </si>
  <si>
    <t>Jenkins LTS/Plugin 지원정책 확인 필요</t>
  </si>
  <si>
    <t>Plugin EOS와 Pipeline 호환성 점검</t>
  </si>
  <si>
    <t>EOS-NSI-2026-030</t>
  </si>
  <si>
    <t>Nexus Repository</t>
  </si>
  <si>
    <t>아티팩트 저장소</t>
  </si>
  <si>
    <t>3.x-구버전</t>
  </si>
  <si>
    <t>nexus-prd</t>
  </si>
  <si>
    <t>Sonatype</t>
  </si>
  <si>
    <t>Sonatype 지원정책 확인 필요</t>
  </si>
  <si>
    <t>Maven/Gradle Repo URL 영향</t>
  </si>
  <si>
    <t>EOS-NSI-2026-031</t>
  </si>
  <si>
    <t>SonarQube</t>
  </si>
  <si>
    <t>정적분석</t>
  </si>
  <si>
    <t>9.x</t>
  </si>
  <si>
    <t>LTS 지원버전</t>
  </si>
  <si>
    <t>sonar-prd</t>
  </si>
  <si>
    <t>SonarSource</t>
  </si>
  <si>
    <t>SonarSource 지원정책 확인 필요</t>
  </si>
  <si>
    <t>Quality Gate 기준 유지</t>
  </si>
  <si>
    <t>EOS-NSI-2026-032</t>
  </si>
  <si>
    <t>공통 로깅</t>
  </si>
  <si>
    <t>애플리케이션 공통</t>
  </si>
  <si>
    <t>Log4j/Logging Lib</t>
  </si>
  <si>
    <t>최신 보안패치</t>
  </si>
  <si>
    <t>취약점/SBOM/SCA 결과 확인 필요</t>
  </si>
  <si>
    <t>SCA 기반 직접/간접 의존성 점검</t>
  </si>
  <si>
    <t>EOS-NSI-2026-033</t>
  </si>
  <si>
    <t>JSON 처리</t>
  </si>
  <si>
    <t>전문 파싱/조립</t>
  </si>
  <si>
    <t>Jackson</t>
  </si>
  <si>
    <t>FasterXML</t>
  </si>
  <si>
    <t>전문 표준 Header/Body 직렬화 회귀테스트</t>
  </si>
  <si>
    <t>EOS-NSI-2026-034</t>
  </si>
  <si>
    <t>비동기 네트워크</t>
  </si>
  <si>
    <t>외부 연계</t>
  </si>
  <si>
    <t>Netty</t>
  </si>
  <si>
    <t>CruzAPIM Client, WebClient 영향 확인</t>
  </si>
  <si>
    <t>EOS-NSI-2026-035</t>
  </si>
  <si>
    <t>백업 솔루션</t>
  </si>
  <si>
    <t>백업/복구</t>
  </si>
  <si>
    <t>Backup Solution</t>
  </si>
  <si>
    <t>v8.x</t>
  </si>
  <si>
    <t>backup-prd</t>
  </si>
  <si>
    <t>RDW/ADW 백업 복구 리허설 포함</t>
  </si>
  <si>
    <t>EOS-NSI-2026-036</t>
  </si>
  <si>
    <t>방화벽</t>
  </si>
  <si>
    <t>보안 네트워크</t>
  </si>
  <si>
    <t>Firewall Appliance</t>
  </si>
  <si>
    <t>OS 10.x</t>
  </si>
  <si>
    <t>fw-prd</t>
  </si>
  <si>
    <t>센터 간/대외 연계 정책 백업</t>
  </si>
  <si>
    <t>농협상호금융 정보계 EOS 위험도 평가표</t>
  </si>
  <si>
    <t>점수는 샘플입니다. 실제 평가는 업무 중요도, 운영환경, 대외노출, CVE, 장애영향, 대체난이도, EOS잔여기간을 기준으로 아키텍처/보안/운영 합동 검토합니다.</t>
  </si>
  <si>
    <t>업무중요도</t>
  </si>
  <si>
    <t>운영환경</t>
  </si>
  <si>
    <t>외부노출</t>
  </si>
  <si>
    <t>보안취약점</t>
  </si>
  <si>
    <t>장애영향도</t>
  </si>
  <si>
    <t>대체난이도</t>
  </si>
  <si>
    <t>EOS상태</t>
  </si>
  <si>
    <t>총점</t>
  </si>
  <si>
    <t>평가의견</t>
  </si>
  <si>
    <t>운영 핵심 자원으로 EOS 전환계획 및 영향도 검증 필요</t>
  </si>
  <si>
    <t>정기 점검 및 표준버전 유지관리 대상</t>
  </si>
  <si>
    <t>농협상호금융 정보계 EOS 조치계획 관리표</t>
  </si>
  <si>
    <t>조치계획은 서비스 중단 위험을 낮추기 위해 Rolling, Blue-Green, DR 선검증, Rollback 기준을 함께 작성합니다.</t>
  </si>
  <si>
    <t>시스템명</t>
  </si>
  <si>
    <t>목표버전</t>
  </si>
  <si>
    <t>조치내용</t>
  </si>
  <si>
    <t>영향범위</t>
  </si>
  <si>
    <t>선행작업</t>
  </si>
  <si>
    <t>테스트계획</t>
  </si>
  <si>
    <t>전환방식</t>
  </si>
  <si>
    <t>Rollback방안</t>
  </si>
  <si>
    <t>담당자</t>
  </si>
  <si>
    <t>착수예정일</t>
  </si>
  <si>
    <t>완료목표일</t>
  </si>
  <si>
    <t>실제완료일</t>
  </si>
  <si>
    <t>진행상태</t>
  </si>
  <si>
    <t>이슈사항</t>
  </si>
  <si>
    <t>WebTopSuite Runtime v3.x → 벤더 지원버전 전환</t>
  </si>
  <si>
    <t>운영/DR 서비스 영향. 업무시간 외 단계적 전환 필요</t>
  </si>
  <si>
    <t>호환성 분석, 백업, 설정 백업, 표준버전 승인</t>
  </si>
  <si>
    <t>단위/통합/성능/장애전환/보안회귀 테스트</t>
  </si>
  <si>
    <t>Rolling/Blue-Green 전환</t>
  </si>
  <si>
    <t>기존 버전 인스턴스 또는 스냅샷 복구</t>
  </si>
  <si>
    <t>GSLB Appliance OS 12.x → OS 15.x 이상 전환</t>
  </si>
  <si>
    <t>L4 Load Balancer OS 13.x → OS 15.x 이상 전환</t>
  </si>
  <si>
    <t>Apache HTTP Server 2.4.x-구버전 → 2.4 최신 패치 전환</t>
  </si>
  <si>
    <t>Nginx 1.20.x → 1.26 이상 전환</t>
  </si>
  <si>
    <t>RHEL 7.x → RHEL 9.x 전환</t>
  </si>
  <si>
    <t>OpenJDK 8u202 → JDK 21 전환</t>
  </si>
  <si>
    <t>Apache Tomcat 8.5.x → Tomcat 10.1 전환</t>
  </si>
  <si>
    <t>Apache Tomcat 9.0.x-구버전 → Tomcat 10.1 전환</t>
  </si>
  <si>
    <t>Spring Boot 2.7.x → 3.3 이상 전환</t>
  </si>
  <si>
    <t>Spring Framework 5.x → 6.x 전환</t>
  </si>
  <si>
    <t>MyBatis 3.5.x-구버전 → 3.5 최신 전환</t>
  </si>
  <si>
    <t>유상/제한 지원계약 검토 후 차기 표준버전 전환계획 수립</t>
  </si>
  <si>
    <t>계약연장 + 단계적 전환</t>
  </si>
  <si>
    <t>기존 운영 유지 및 보완통제 강화</t>
  </si>
  <si>
    <t>Oracle JDBC Driver ojdbc8 구버전 → ojdbc11/표준 전환</t>
  </si>
  <si>
    <t>CruzAPIM 구버전 → 벤더 지원버전 전환</t>
  </si>
  <si>
    <t>MFT/FOS v5.x → 벤더 지원버전 전환</t>
  </si>
  <si>
    <t>Apache Kafka 2.x → 3.x 표준 전환</t>
  </si>
  <si>
    <t>CDC Solution v10.x → 벤더 지원버전 전환</t>
  </si>
  <si>
    <t>IBM DataStage 구버전 → 벤더 지원버전 전환</t>
  </si>
  <si>
    <t>BI Portal Solution v4.x → 벤더 지원버전 전환</t>
  </si>
  <si>
    <t>농협상호금융 정보계 EOS 예외 승인 관리표</t>
  </si>
  <si>
    <t>EOS 예외는 금지가 아니라 통제입니다. 반드시 예외기간, 보완대책, 최종전환일, 종료기준을 함께 둡니다.</t>
  </si>
  <si>
    <t>신청번호</t>
  </si>
  <si>
    <t>신청일자</t>
  </si>
  <si>
    <t>신청부서</t>
  </si>
  <si>
    <t>신청자</t>
  </si>
  <si>
    <t>예외요청기간</t>
  </si>
  <si>
    <t>예외요청사유</t>
  </si>
  <si>
    <t>즉시조치불가사유</t>
  </si>
  <si>
    <t>임시보완대책</t>
  </si>
  <si>
    <t>최종전환계획</t>
  </si>
  <si>
    <t>최종전환목표일</t>
  </si>
  <si>
    <t>월간점검</t>
  </si>
  <si>
    <t>예외종료기준</t>
  </si>
  <si>
    <t>승인상태</t>
  </si>
  <si>
    <t>승인조건</t>
  </si>
  <si>
    <t>EX-EOS-2026-001</t>
  </si>
  <si>
    <t>2026-07-01 ~ 2026-08-31</t>
  </si>
  <si>
    <t>운영 핵심 업무 영향으로 즉시 교체 불가. 전환 테스트 및 업무시간 외 절차 필요</t>
  </si>
  <si>
    <t>호환성 검증, 성능테스트, DR 절차 검증 선행 필요</t>
  </si>
  <si>
    <t>접근통제 강화, 취약점 모니터링, 백업, 변경동결, 월간 리스크 보고</t>
  </si>
  <si>
    <t>벤더 지원버전 기준 전환 및 회귀테스트 후 운영 반영</t>
  </si>
  <si>
    <t>Y</t>
  </si>
  <si>
    <t>대체버전 운영반영 완료 또는 자원 폐기</t>
  </si>
  <si>
    <t>조건부 승인</t>
  </si>
  <si>
    <t>예외기간 초과 금지, 월간 점검결과 제출</t>
  </si>
  <si>
    <t>EX-EOS-2026-002</t>
  </si>
  <si>
    <t>2026-07-01 ~ 2026-06-30</t>
  </si>
  <si>
    <t>2.4 최신 패치 기준 전환 및 회귀테스트 후 운영 반영</t>
  </si>
  <si>
    <t>EX-EOS-2026-003</t>
  </si>
  <si>
    <t>2026-07-01 ~ 2026-08-15</t>
  </si>
  <si>
    <t>1.26 이상 기준 전환 및 회귀테스트 후 운영 반영</t>
  </si>
  <si>
    <t>EX-EOS-2026-004</t>
  </si>
  <si>
    <t>2026-07-01 ~ 2026-09-30</t>
  </si>
  <si>
    <t>RHEL 9.x 기준 전환 및 회귀테스트 후 운영 반영</t>
  </si>
  <si>
    <t>EX-EOS-2026-005</t>
  </si>
  <si>
    <t>EX-EOS-2026-006</t>
  </si>
  <si>
    <t>JDK 21 기준 전환 및 회귀테스트 후 운영 반영</t>
  </si>
  <si>
    <t>EX-EOS-2026-007</t>
  </si>
  <si>
    <t>Tomcat 10.1 기준 전환 및 회귀테스트 후 운영 반영</t>
  </si>
  <si>
    <t>EX-EOS-2026-008</t>
  </si>
  <si>
    <t>2026-07-01 ~ 2026-10-31</t>
  </si>
  <si>
    <t>3.3 이상 기준 전환 및 회귀테스트 후 운영 반영</t>
  </si>
  <si>
    <t>EX-EOS-2026-009</t>
  </si>
  <si>
    <t>6.x 기준 전환 및 회귀테스트 후 운영 반영</t>
  </si>
  <si>
    <t>EX-EOS-2026-010</t>
  </si>
  <si>
    <t>2026-07-01 ~ 2026-12-31</t>
  </si>
  <si>
    <t>벤더 표준지원 버전 기준 전환 및 회귀테스트 후 운영 반영</t>
  </si>
  <si>
    <t>농협상호금융 정보계 EOS 월간 보고서</t>
  </si>
  <si>
    <t>1. 월간 EOS 현황 요약</t>
  </si>
  <si>
    <t>구분</t>
  </si>
  <si>
    <t>전월</t>
  </si>
  <si>
    <t>금월</t>
  </si>
  <si>
    <t>증감</t>
  </si>
  <si>
    <t>전체 관리 자원 수</t>
  </si>
  <si>
    <t>EOS 위험 상태</t>
  </si>
  <si>
    <t>예외 승인 필요</t>
  </si>
  <si>
    <t>조치 진행중</t>
  </si>
  <si>
    <t>2. 금월 우선 조치 대상</t>
  </si>
  <si>
    <t>3. 주요 이슈 및 요청사항</t>
  </si>
  <si>
    <t>이슈</t>
  </si>
  <si>
    <t>영향도</t>
  </si>
  <si>
    <t>조치방향</t>
  </si>
  <si>
    <t>요청사항</t>
  </si>
  <si>
    <t>목표일</t>
  </si>
  <si>
    <t>상태</t>
  </si>
  <si>
    <t>JDK 8/Spring Boot 2.x 기반 AP 표준버전 전환 필요</t>
  </si>
  <si>
    <t>높음</t>
  </si>
  <si>
    <t>JDK 21 + Spring Boot 3.x 전환 PoC</t>
  </si>
  <si>
    <t>호환성 테스트 일정 승인</t>
  </si>
  <si>
    <t>Tomcat 8.5/9.x 혼재로 세션/클러스터 정책 표준화 필요</t>
  </si>
  <si>
    <t>Tomcat 10.1 기준 통합</t>
  </si>
  <si>
    <t>DeltaManager/Sticky 정책 검증</t>
  </si>
  <si>
    <t>Kafka 2.x 기반 실시간 흐름 EOS 및 성능검증 필요</t>
  </si>
  <si>
    <t>중간</t>
  </si>
  <si>
    <t>Kafka 3.x 전환계획</t>
  </si>
  <si>
    <t>CDC/Consumer Lag 검증환경 요청</t>
  </si>
  <si>
    <t>농협상호금융 정보계 EOS 코드/기준표</t>
  </si>
  <si>
    <t>자원구분 코드</t>
  </si>
  <si>
    <t>현재상태 기준</t>
  </si>
  <si>
    <t>코드</t>
  </si>
  <si>
    <t>NSIGHT 예시</t>
  </si>
  <si>
    <t>기준</t>
  </si>
  <si>
    <t>조치</t>
  </si>
  <si>
    <t>정상</t>
  </si>
  <si>
    <t>EOS까지 12개월 이상</t>
  </si>
  <si>
    <t>정기 점검</t>
  </si>
  <si>
    <t>네트워크</t>
  </si>
  <si>
    <t>GSLB, L4, 방화벽</t>
  </si>
  <si>
    <t>주의</t>
  </si>
  <si>
    <t>EOS까지 6~12개월</t>
  </si>
  <si>
    <t>전환계획 수립</t>
  </si>
  <si>
    <t>Web Server</t>
  </si>
  <si>
    <t>Apache, Nginx</t>
  </si>
  <si>
    <t>경고</t>
  </si>
  <si>
    <t>EOS까지 3~6개월</t>
  </si>
  <si>
    <t>일정/예산 확정</t>
  </si>
  <si>
    <t>Tomcat</t>
  </si>
  <si>
    <t>위험</t>
  </si>
  <si>
    <t>EOS 도래 또는 3개월 미만</t>
  </si>
  <si>
    <t>긴급 개선계획</t>
  </si>
  <si>
    <t>운영체제</t>
  </si>
  <si>
    <t>RHEL, Windows Server</t>
  </si>
  <si>
    <t>예외</t>
  </si>
  <si>
    <t>승인 후 한시적 유지</t>
  </si>
  <si>
    <t>월간 점검/종료관리</t>
  </si>
  <si>
    <t>Java Runtime</t>
  </si>
  <si>
    <t>OpenJDK, Oracle JDK</t>
  </si>
  <si>
    <t>Framework</t>
  </si>
  <si>
    <t>Spring Boot, Spring Framework, MyBatis</t>
  </si>
  <si>
    <t>Database</t>
  </si>
  <si>
    <t>RDW, ADW DBMS</t>
  </si>
  <si>
    <t>Middleware</t>
  </si>
  <si>
    <t>CruzAPIM, Kafka, CDC, MFT/FOS</t>
  </si>
  <si>
    <t>ETL/Batch</t>
  </si>
  <si>
    <t>DataStage</t>
  </si>
  <si>
    <t>보안</t>
  </si>
  <si>
    <t>SSO, WAF, DB 접근제어</t>
  </si>
  <si>
    <t>Log4j, Jackson, Netty, JDBC Driver</t>
  </si>
  <si>
    <t>운영/DevOps 도구</t>
  </si>
  <si>
    <t>GitLab, Jenkins, APM, Log Platform</t>
  </si>
  <si>
    <t>위험등급 기준</t>
  </si>
  <si>
    <t>조치유형 코드</t>
  </si>
  <si>
    <t>조치기준</t>
  </si>
  <si>
    <t>의미</t>
  </si>
  <si>
    <t>적용 예시</t>
  </si>
  <si>
    <t>32점 이상</t>
  </si>
  <si>
    <t>즉시 개선계획 및 관리자/PMO 보고</t>
  </si>
  <si>
    <t>지원 버전으로 업그레이드</t>
  </si>
  <si>
    <t>Tomcat 10.1, JDK 21</t>
  </si>
  <si>
    <t>26~31점</t>
  </si>
  <si>
    <t>3개월 이내 조치계획 확정</t>
  </si>
  <si>
    <t>Replace</t>
  </si>
  <si>
    <t>제품 또는 솔루션 교체</t>
  </si>
  <si>
    <t>단종 솔루션 대체</t>
  </si>
  <si>
    <t>20~25점</t>
  </si>
  <si>
    <t>6개월 이내 개선계획 수립</t>
  </si>
  <si>
    <t>Remove</t>
  </si>
  <si>
    <t>미사용 자원 제거</t>
  </si>
  <si>
    <t>잔존 라이브러리 제거</t>
  </si>
  <si>
    <t>19점 이하</t>
  </si>
  <si>
    <t>정기 점검 관리</t>
  </si>
  <si>
    <t>유상/제한 지원</t>
  </si>
  <si>
    <t>DBMS 단기 연장</t>
  </si>
  <si>
    <t>Isolation</t>
  </si>
  <si>
    <t>임시 격리</t>
  </si>
  <si>
    <t>접근통제 강화</t>
  </si>
  <si>
    <t>Exception</t>
  </si>
  <si>
    <t>예외 승인</t>
  </si>
  <si>
    <t>전환 전 한시적 유지</t>
  </si>
  <si>
    <t>환경 코드</t>
  </si>
  <si>
    <t>설명</t>
  </si>
  <si>
    <t>DEV</t>
  </si>
  <si>
    <t>개발</t>
  </si>
  <si>
    <t>개발자 개발환경</t>
  </si>
  <si>
    <t>진행상태 코드</t>
  </si>
  <si>
    <t>TEST</t>
  </si>
  <si>
    <t>테스트</t>
  </si>
  <si>
    <t>통합테스트</t>
  </si>
  <si>
    <t>관리 기준</t>
  </si>
  <si>
    <t>STG</t>
  </si>
  <si>
    <t>스테이징</t>
  </si>
  <si>
    <t>운영 전 검증</t>
  </si>
  <si>
    <t>등록 후 착수 전</t>
  </si>
  <si>
    <t>일정 확정 필요</t>
  </si>
  <si>
    <t>운영</t>
  </si>
  <si>
    <t>운영 서비스</t>
  </si>
  <si>
    <t>방안/일정 수립 중</t>
  </si>
  <si>
    <t>영향도 분석 필요</t>
  </si>
  <si>
    <t>DR</t>
  </si>
  <si>
    <t>재해복구</t>
  </si>
  <si>
    <t>DR 센터</t>
  </si>
  <si>
    <t>조치 수행 중</t>
  </si>
  <si>
    <t>주간 진행 보고</t>
  </si>
  <si>
    <t>테스트중</t>
  </si>
  <si>
    <t>검증 단계</t>
  </si>
  <si>
    <t>성능/회귀/보안 검증</t>
  </si>
  <si>
    <t>완료</t>
  </si>
  <si>
    <t>운영 반영 완료</t>
  </si>
  <si>
    <t>증빙 첨부</t>
  </si>
  <si>
    <t>보류</t>
  </si>
  <si>
    <t>일시 중단</t>
  </si>
  <si>
    <t>사유/재개일 필요</t>
  </si>
  <si>
    <t>예외관리</t>
  </si>
  <si>
    <t>예외 승인 후 유지</t>
  </si>
  <si>
    <t>월간 점검</t>
  </si>
  <si>
    <t>농협상호금융 정보계 EOS 점검 명령어/확인방법 샘플</t>
  </si>
  <si>
    <t>점검대상</t>
  </si>
  <si>
    <t>확인명령/확인방법</t>
  </si>
  <si>
    <t>수집정보</t>
  </si>
  <si>
    <t>주의사항</t>
  </si>
  <si>
    <t>산출물</t>
  </si>
  <si>
    <t>RHEL/Linux</t>
  </si>
  <si>
    <t>cat /etc/os-release; uname -a; rpm -qa | grep release</t>
  </si>
  <si>
    <t>OS버전, 커널, 패치레벨</t>
  </si>
  <si>
    <t>운영/DR 동일 기준 확인</t>
  </si>
  <si>
    <t>서버별 OS 점검표</t>
  </si>
  <si>
    <t>OpenJDK/Oracle JDK</t>
  </si>
  <si>
    <t>java -version; echo $JAVA_HOME; ps -ef | grep java</t>
  </si>
  <si>
    <t>JDK Vendor, Version, JAVA_HOME</t>
  </si>
  <si>
    <t>서비스별 다른 JAVA_HOME 가능</t>
  </si>
  <si>
    <t>JDK 현황표</t>
  </si>
  <si>
    <t>$CATALINA_HOME/bin/catalina.sh version; ps -ef | grep tomcat</t>
  </si>
  <si>
    <t>Tomcat 버전, 실행경로, 인스턴스</t>
  </si>
  <si>
    <t>내장/외장 Tomcat 구분</t>
  </si>
  <si>
    <t>WAS 현황표</t>
  </si>
  <si>
    <t>httpd -v; httpd -M; apachectl -S</t>
  </si>
  <si>
    <t>Apache 버전, 모듈, VirtualHost</t>
  </si>
  <si>
    <t>mod_proxy, mod_ssl 사용 확인</t>
  </si>
  <si>
    <t>WEB 현황표</t>
  </si>
  <si>
    <t>WEB/Proxy</t>
  </si>
  <si>
    <t>nginx -v; nginx -T</t>
  </si>
  <si>
    <t>Nginx 버전, 설정</t>
  </si>
  <si>
    <t>운영정보 노출 주의</t>
  </si>
  <si>
    <t>Proxy 설정 백업</t>
  </si>
  <si>
    <t>RDW/ADW</t>
  </si>
  <si>
    <t>SELECT * FROM v$version; 또는 DBMS별 version query</t>
  </si>
  <si>
    <t>DBMS 버전, 옵션</t>
  </si>
  <si>
    <t>계정 권한 필요</t>
  </si>
  <si>
    <t>DBMS 현황표</t>
  </si>
  <si>
    <t>JDBC</t>
  </si>
  <si>
    <t>AP Library</t>
  </si>
  <si>
    <t>mvn dependency:tree | grep jdbc; jar tf app.war | grep ojdbc</t>
  </si>
  <si>
    <t>Driver 버전, 포함 위치</t>
  </si>
  <si>
    <t>중복 JAR 여부 확인</t>
  </si>
  <si>
    <t>라이브러리 점검표</t>
  </si>
  <si>
    <t>mvn dependency:tree | grep spring-boot; gradle dependencies</t>
  </si>
  <si>
    <t>Spring Boot/Framework 버전</t>
  </si>
  <si>
    <t>간접의존성 포함</t>
  </si>
  <si>
    <t>Framework 현황표</t>
  </si>
  <si>
    <t>mvn dependency:tree | grep mybatis</t>
  </si>
  <si>
    <t>MyBatis 버전</t>
  </si>
  <si>
    <t>SQL Timeout 설정도 함께 점검</t>
  </si>
  <si>
    <t>Kafka</t>
  </si>
  <si>
    <t>kafka-topics.sh --version; broker 설정 확인</t>
  </si>
  <si>
    <t>Broker/Client 버전</t>
  </si>
  <si>
    <t>Broker와 Client 버전 모두 확인</t>
  </si>
  <si>
    <t>Kafka 현황표</t>
  </si>
  <si>
    <t>CDC</t>
  </si>
  <si>
    <t>제품 콘솔/Agent version 확인</t>
  </si>
  <si>
    <t>Agent 버전, 원천DB 연동</t>
  </si>
  <si>
    <t>원천DB 권한/로그모드 확인</t>
  </si>
  <si>
    <t>CDC 현황표</t>
  </si>
  <si>
    <t>제품 콘솔/엔진 version 확인</t>
  </si>
  <si>
    <t>Engine/Client 버전</t>
  </si>
  <si>
    <t>Job 호환성 테스트 필요</t>
  </si>
  <si>
    <t>ETL 현황표</t>
  </si>
  <si>
    <t>파일연계</t>
  </si>
  <si>
    <t>관리콘솔 제품정보/Agent version</t>
  </si>
  <si>
    <t>Server/Agent 버전</t>
  </si>
  <si>
    <t>외부기관 연계 중단 영향 확인</t>
  </si>
  <si>
    <t>MFT 현황표</t>
  </si>
  <si>
    <t>보안장비</t>
  </si>
  <si>
    <t>WAF/SSO/DB접근제어</t>
  </si>
  <si>
    <t>관리콘솔 제품정보/펌웨어 확인</t>
  </si>
  <si>
    <t>제품버전, Firmware</t>
  </si>
  <si>
    <t>벤더 계약서와 대조</t>
  </si>
  <si>
    <t>보안장비 현황표</t>
  </si>
  <si>
    <t>GitLab/Jenkins/Nexus/SonarQube</t>
  </si>
  <si>
    <t>관리콘솔 About/Version, plugin list</t>
  </si>
  <si>
    <t>서버/Plugin 버전</t>
  </si>
  <si>
    <t>Plugin EOS도 함께 점검</t>
  </si>
  <si>
    <t>DevOps 현황표</t>
  </si>
  <si>
    <t>오픈소스/SBOM</t>
  </si>
  <si>
    <t>mvn dependency:tree; gradle dependencies; SCA 도구 결과</t>
  </si>
  <si>
    <t>직접/간접 의존성</t>
  </si>
  <si>
    <t>취약점/CVE 동시 확인</t>
  </si>
  <si>
    <t>SBOM/SCA 보고서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</si>
</sst>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0" x14ac:knownFonts="1">
    <font>
      <sz val="11"/>
      <name val="Carlito"/>
    </font>
    <font>
      <b/>
      <sz val="16"/>
      <color rgb="FFFFFFFF"/>
      <name val="Carlito"/>
      <family val="2"/>
    </font>
    <font>
      <sz val="9"/>
      <color rgb="FF7C2D12"/>
      <name val="Carlito"/>
      <family val="2"/>
    </font>
    <font>
      <b/>
      <sz val="10"/>
      <color rgb="FFFFFFFF"/>
      <name val="Carlito"/>
      <family val="2"/>
    </font>
    <font>
      <sz val="10"/>
      <color rgb="FF111827"/>
      <name val="Carlito"/>
      <family val="2"/>
    </font>
    <font>
      <b/>
      <sz val="11"/>
      <color rgb="FF0B4F3A"/>
      <name val="Carlito"/>
      <family val="2"/>
    </font>
    <font>
      <b/>
      <sz val="11"/>
      <name val="Carlito"/>
      <family val="2"/>
    </font>
    <font>
      <b/>
      <sz val="16"/>
      <color rgb="FF0B4F3A"/>
      <name val="Carlito"/>
      <family val="2"/>
    </font>
    <font>
      <sz val="11"/>
      <name val="Carlito"/>
      <family val="2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B4F3A"/>
      </patternFill>
    </fill>
    <fill>
      <patternFill patternType="solid">
        <fgColor rgb="FFFFF7ED"/>
      </patternFill>
    </fill>
    <fill>
      <patternFill patternType="solid">
        <fgColor rgb="FF166534"/>
      </patternFill>
    </fill>
    <fill>
      <patternFill patternType="solid">
        <fgColor rgb="FFD9EAD3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4">
    <xf numFmtId="0" fontId="0" fillId="0" borderId="0" xfId="0"/>
    <xf numFmtId="0" fontId="3" fillId="4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vertical="top" wrapText="1"/>
    </xf>
    <xf numFmtId="176" fontId="4" fillId="0" borderId="0" xfId="1" applyNumberFormat="1" applyFont="1" applyFill="1" applyBorder="1" applyAlignment="1">
      <alignment vertical="top" wrapText="1"/>
    </xf>
    <xf numFmtId="1" fontId="4" fillId="0" borderId="0" xfId="1" applyNumberFormat="1" applyFont="1" applyFill="1" applyBorder="1" applyAlignment="1">
      <alignment vertical="top" wrapText="1"/>
    </xf>
    <xf numFmtId="0" fontId="6" fillId="6" borderId="0" xfId="1" applyNumberFormat="1" applyFont="1" applyFill="1" applyBorder="1" applyAlignment="1">
      <alignment horizontal="center" vertical="center" wrapText="1"/>
    </xf>
    <xf numFmtId="0" fontId="7" fillId="7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left" vertical="top" wrapText="1"/>
    </xf>
    <xf numFmtId="0" fontId="0" fillId="0" borderId="0" xfId="1" applyNumberFormat="1" applyFont="1" applyFill="1" applyBorder="1" applyAlignment="1">
      <alignment vertical="top" wrapText="1"/>
    </xf>
    <xf numFmtId="0" fontId="2" fillId="3" borderId="0" xfId="1" applyNumberFormat="1" applyFont="1" applyFill="1" applyBorder="1" applyAlignment="1">
      <alignment wrapText="1"/>
    </xf>
    <xf numFmtId="0" fontId="0" fillId="0" borderId="0" xfId="0"/>
    <xf numFmtId="0" fontId="5" fillId="5" borderId="0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>
      <alignment vertical="top" wrapText="1"/>
    </xf>
  </cellXfs>
  <cellStyles count="2">
    <cellStyle name="Normal" xfId="1"/>
    <cellStyle name="표준" xfId="0" builtinId="0"/>
  </cellStyles>
  <dxfs count="13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11827"/>
      </font>
      <fill>
        <patternFill patternType="solid">
          <bgColor rgb="FFFACC15"/>
        </patternFill>
      </fill>
    </dxf>
    <dxf>
      <font>
        <b/>
        <color rgb="FFFFFFFF"/>
      </font>
      <fill>
        <patternFill patternType="solid">
          <bgColor rgb="FFF97316"/>
        </patternFill>
      </fill>
    </dxf>
    <dxf>
      <font>
        <b/>
        <color rgb="FFFFFFFF"/>
      </font>
      <fill>
        <patternFill patternType="solid">
          <bgColor rgb="FFDC2626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11827"/>
      </font>
      <fill>
        <patternFill patternType="solid">
          <bgColor rgb="FFFACC15"/>
        </patternFill>
      </fill>
    </dxf>
    <dxf>
      <font>
        <b/>
        <color rgb="FFFFFFFF"/>
      </font>
      <fill>
        <patternFill patternType="solid">
          <bgColor rgb="FFF97316"/>
        </patternFill>
      </fill>
    </dxf>
    <dxf>
      <font>
        <b/>
        <color rgb="FFFFFFFF"/>
      </font>
      <fill>
        <patternFill patternType="solid">
          <bgColor rgb="FFDC2626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위험등급 분포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invertIfNegative val="1"/>
          <c:cat>
            <c:strRef>
              <c:f>'00_Dashboard'!$A$11:$A$14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'00_Dashboard'!$B$11:$B$14</c:f>
              <c:numCache>
                <c:formatCode>0</c:formatCode>
                <c:ptCount val="4"/>
                <c:pt idx="0">
                  <c:v>7</c:v>
                </c:pt>
                <c:pt idx="1">
                  <c:v>28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E-41D3-8594-63789C9EC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영역별 </a:t>
            </a:r>
            <a:r>
              <a:rPr lang="en-US"/>
              <a:t>Critical/High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대상수</c:v>
          </c:tx>
          <c:invertIfNegative val="1"/>
          <c:cat>
            <c:strRef>
              <c:f>'00_Dashboard'!$D$11:$D$25</c:f>
              <c:strCache>
                <c:ptCount val="15"/>
                <c:pt idx="0">
                  <c:v>AP</c:v>
                </c:pt>
                <c:pt idx="1">
                  <c:v>BI/분석</c:v>
                </c:pt>
                <c:pt idx="2">
                  <c:v>Backup/DR</c:v>
                </c:pt>
                <c:pt idx="3">
                  <c:v>Batch/ETL</c:v>
                </c:pt>
                <c:pt idx="4">
                  <c:v>Data Platform</c:v>
                </c:pt>
                <c:pt idx="5">
                  <c:v>DevOps</c:v>
                </c:pt>
                <c:pt idx="6">
                  <c:v>Integration</c:v>
                </c:pt>
                <c:pt idx="7">
                  <c:v>Library</c:v>
                </c:pt>
                <c:pt idx="8">
                  <c:v>Network</c:v>
                </c:pt>
                <c:pt idx="9">
                  <c:v>Observability</c:v>
                </c:pt>
                <c:pt idx="10">
                  <c:v>Realtime/Event</c:v>
                </c:pt>
                <c:pt idx="11">
                  <c:v>Security</c:v>
                </c:pt>
                <c:pt idx="12">
                  <c:v>WEB</c:v>
                </c:pt>
                <c:pt idx="13">
                  <c:v>시스템/서비스</c:v>
                </c:pt>
                <c:pt idx="14">
                  <c:v>SSO/IAM</c:v>
                </c:pt>
              </c:strCache>
            </c:strRef>
          </c:cat>
          <c:val>
            <c:numRef>
              <c:f>'00_Dashboard'!$E$11:$E$25</c:f>
              <c:numCache>
                <c:formatCode>General</c:formatCode>
                <c:ptCount val="15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A-43A9-B77B-14914CF58B72}"/>
            </c:ext>
          </c:extLst>
        </c:ser>
        <c:ser>
          <c:idx val="1"/>
          <c:order val="1"/>
          <c:tx>
            <c:v>Critical</c:v>
          </c:tx>
          <c:invertIfNegative val="1"/>
          <c:cat>
            <c:strRef>
              <c:f>'00_Dashboard'!$D$11:$D$25</c:f>
              <c:strCache>
                <c:ptCount val="15"/>
                <c:pt idx="0">
                  <c:v>AP</c:v>
                </c:pt>
                <c:pt idx="1">
                  <c:v>BI/분석</c:v>
                </c:pt>
                <c:pt idx="2">
                  <c:v>Backup/DR</c:v>
                </c:pt>
                <c:pt idx="3">
                  <c:v>Batch/ETL</c:v>
                </c:pt>
                <c:pt idx="4">
                  <c:v>Data Platform</c:v>
                </c:pt>
                <c:pt idx="5">
                  <c:v>DevOps</c:v>
                </c:pt>
                <c:pt idx="6">
                  <c:v>Integration</c:v>
                </c:pt>
                <c:pt idx="7">
                  <c:v>Library</c:v>
                </c:pt>
                <c:pt idx="8">
                  <c:v>Network</c:v>
                </c:pt>
                <c:pt idx="9">
                  <c:v>Observability</c:v>
                </c:pt>
                <c:pt idx="10">
                  <c:v>Realtime/Event</c:v>
                </c:pt>
                <c:pt idx="11">
                  <c:v>Security</c:v>
                </c:pt>
                <c:pt idx="12">
                  <c:v>WEB</c:v>
                </c:pt>
                <c:pt idx="13">
                  <c:v>시스템/서비스</c:v>
                </c:pt>
                <c:pt idx="14">
                  <c:v>SSO/IAM</c:v>
                </c:pt>
              </c:strCache>
            </c:strRef>
          </c:cat>
          <c:val>
            <c:numRef>
              <c:f>'00_Dashboard'!$F$11:$F$25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A-43A9-B77B-14914CF58B72}"/>
            </c:ext>
          </c:extLst>
        </c:ser>
        <c:ser>
          <c:idx val="2"/>
          <c:order val="2"/>
          <c:tx>
            <c:v>High</c:v>
          </c:tx>
          <c:invertIfNegative val="1"/>
          <c:cat>
            <c:strRef>
              <c:f>'00_Dashboard'!$D$11:$D$25</c:f>
              <c:strCache>
                <c:ptCount val="15"/>
                <c:pt idx="0">
                  <c:v>AP</c:v>
                </c:pt>
                <c:pt idx="1">
                  <c:v>BI/분석</c:v>
                </c:pt>
                <c:pt idx="2">
                  <c:v>Backup/DR</c:v>
                </c:pt>
                <c:pt idx="3">
                  <c:v>Batch/ETL</c:v>
                </c:pt>
                <c:pt idx="4">
                  <c:v>Data Platform</c:v>
                </c:pt>
                <c:pt idx="5">
                  <c:v>DevOps</c:v>
                </c:pt>
                <c:pt idx="6">
                  <c:v>Integration</c:v>
                </c:pt>
                <c:pt idx="7">
                  <c:v>Library</c:v>
                </c:pt>
                <c:pt idx="8">
                  <c:v>Network</c:v>
                </c:pt>
                <c:pt idx="9">
                  <c:v>Observability</c:v>
                </c:pt>
                <c:pt idx="10">
                  <c:v>Realtime/Event</c:v>
                </c:pt>
                <c:pt idx="11">
                  <c:v>Security</c:v>
                </c:pt>
                <c:pt idx="12">
                  <c:v>WEB</c:v>
                </c:pt>
                <c:pt idx="13">
                  <c:v>시스템/서비스</c:v>
                </c:pt>
                <c:pt idx="14">
                  <c:v>SSO/IAM</c:v>
                </c:pt>
              </c:strCache>
            </c:strRef>
          </c:cat>
          <c:val>
            <c:numRef>
              <c:f>'00_Dashboard'!$G$11:$G$25</c:f>
              <c:numCache>
                <c:formatCode>General</c:formatCode>
                <c:ptCount val="15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A-43A9-B77B-14914CF58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OSManagementTable" displayName="EOSManagementTable" ref="A4:Z40">
  <tableColumns count="26">
    <tableColumn id="1" name="No"/>
    <tableColumn id="2" name="자원ID"/>
    <tableColumn id="3" name="NSIGHT영역"/>
    <tableColumn id="4" name="시스템/서비스"/>
    <tableColumn id="5" name="업무/Runtime"/>
    <tableColumn id="6" name="자원구분"/>
    <tableColumn id="7" name="제품명"/>
    <tableColumn id="8" name="현재버전"/>
    <tableColumn id="9" name="목표표준버전"/>
    <tableColumn id="10" name="설치위치/논리자원"/>
    <tableColumn id="11" name="환경"/>
    <tableColumn id="12" name="운영센터"/>
    <tableColumn id="13" name="담당조직"/>
    <tableColumn id="14" name="벤더/공급사"/>
    <tableColumn id="15" name="EOS일자"/>
    <tableColumn id="16" name="EOL일자"/>
    <tableColumn id="17" name="계약종료일"/>
    <tableColumn id="18" name="공식근거/확인자료"/>
    <tableColumn id="19" name="잔여일수"/>
    <tableColumn id="20" name="현재상태"/>
    <tableColumn id="21" name="위험등급"/>
    <tableColumn id="22" name="조치유형"/>
    <tableColumn id="23" name="목표조치일"/>
    <tableColumn id="24" name="조치상태"/>
    <tableColumn id="25" name="예외승인여부"/>
    <tableColumn id="26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AssessmentTable" displayName="RiskAssessmentTable" ref="A4:N40">
  <tableColumns count="14">
    <tableColumn id="1" name="자원ID"/>
    <tableColumn id="2" name="NSIGHT영역"/>
    <tableColumn id="3" name="제품명"/>
    <tableColumn id="4" name="현재버전"/>
    <tableColumn id="5" name="업무중요도"/>
    <tableColumn id="6" name="운영환경"/>
    <tableColumn id="7" name="외부노출"/>
    <tableColumn id="8" name="보안취약점"/>
    <tableColumn id="9" name="장애영향도"/>
    <tableColumn id="10" name="대체난이도"/>
    <tableColumn id="11" name="EOS상태"/>
    <tableColumn id="12" name="총점"/>
    <tableColumn id="13" name="위험등급"/>
    <tableColumn id="14" name="평가의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PlanTable" displayName="ActionPlanTable" ref="A4:U26">
  <tableColumns count="21">
    <tableColumn id="1" name="No"/>
    <tableColumn id="2" name="자원ID"/>
    <tableColumn id="3" name="NSIGHT영역"/>
    <tableColumn id="4" name="시스템명"/>
    <tableColumn id="5" name="제품명"/>
    <tableColumn id="6" name="현재버전"/>
    <tableColumn id="7" name="목표버전"/>
    <tableColumn id="8" name="조치유형"/>
    <tableColumn id="9" name="조치내용"/>
    <tableColumn id="10" name="영향범위"/>
    <tableColumn id="11" name="선행작업"/>
    <tableColumn id="12" name="테스트계획"/>
    <tableColumn id="13" name="전환방식"/>
    <tableColumn id="14" name="Rollback방안"/>
    <tableColumn id="15" name="담당조직"/>
    <tableColumn id="16" name="담당자"/>
    <tableColumn id="17" name="착수예정일"/>
    <tableColumn id="18" name="완료목표일"/>
    <tableColumn id="19" name="실제완료일"/>
    <tableColumn id="20" name="진행상태"/>
    <tableColumn id="21" name="이슈사항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ceptionApprovalTable" displayName="ExceptionApprovalTable" ref="A4:T14">
  <tableColumns count="20">
    <tableColumn id="1" name="신청번호"/>
    <tableColumn id="2" name="신청일자"/>
    <tableColumn id="3" name="신청부서"/>
    <tableColumn id="4" name="신청자"/>
    <tableColumn id="5" name="시스템명"/>
    <tableColumn id="6" name="자원ID"/>
    <tableColumn id="7" name="제품명"/>
    <tableColumn id="8" name="현재버전"/>
    <tableColumn id="9" name="EOS일자"/>
    <tableColumn id="10" name="위험등급"/>
    <tableColumn id="11" name="예외요청기간"/>
    <tableColumn id="12" name="예외요청사유"/>
    <tableColumn id="13" name="즉시조치불가사유"/>
    <tableColumn id="14" name="임시보완대책"/>
    <tableColumn id="15" name="최종전환계획"/>
    <tableColumn id="16" name="최종전환목표일"/>
    <tableColumn id="17" name="월간점검"/>
    <tableColumn id="18" name="예외종료기준"/>
    <tableColumn id="19" name="승인상태"/>
    <tableColumn id="20" name="승인조건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eckCommandTable" displayName="CheckCommandTable" ref="A3:F19">
  <tableColumns count="6">
    <tableColumn id="1" name="영역"/>
    <tableColumn id="2" name="점검대상"/>
    <tableColumn id="3" name="확인명령/확인방법"/>
    <tableColumn id="4" name="수집정보"/>
    <tableColumn id="5" name="주의사항"/>
    <tableColumn id="6" name="산출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>
      <selection sqref="A1:M1"/>
    </sheetView>
  </sheetViews>
  <sheetFormatPr defaultRowHeight="14.4" x14ac:dyDescent="0.3"/>
  <cols>
    <col min="1" max="1" width="12" customWidth="1"/>
    <col min="2" max="2" width="18" customWidth="1"/>
    <col min="3" max="3" width="12" customWidth="1"/>
    <col min="4" max="4" width="16" customWidth="1"/>
    <col min="5" max="5" width="14" customWidth="1"/>
    <col min="6" max="12" width="12" customWidth="1"/>
    <col min="13" max="13" width="20" customWidth="1"/>
  </cols>
  <sheetData>
    <row r="1" spans="1:26" ht="2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26" x14ac:dyDescent="0.3">
      <c r="A4" s="12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26" ht="28.8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26" ht="21" x14ac:dyDescent="0.3">
      <c r="A6" s="6">
        <f>COUNTA('01_EOS관리대장'!$B$5:$B$500)</f>
        <v>36</v>
      </c>
      <c r="B6" s="6">
        <f ca="1">COUNTIF('01_EOS관리대장'!$T$5:$T$500,"위험")</f>
        <v>27</v>
      </c>
      <c r="C6" s="6">
        <f>COUNTIF('01_EOS관리대장'!$U$5:$U$500,"Critical")</f>
        <v>7</v>
      </c>
      <c r="D6" s="6">
        <f>COUNTIF('01_EOS관리대장'!$U$5:$U$500,"High")</f>
        <v>28</v>
      </c>
      <c r="E6" s="6">
        <f>COUNTIF('01_EOS관리대장'!$Y$5:$Y$500,"필요")</f>
        <v>19</v>
      </c>
      <c r="F6" s="6">
        <f>COUNTIF('01_EOS관리대장'!$X$5:$X$500,"진행중")</f>
        <v>8</v>
      </c>
      <c r="G6" s="6">
        <f>COUNTIFS('01_EOS관리대장'!$W$5:$W$500,"&gt;="&amp;DATE(2026,6,1),'01_EOS관리대장'!$W$5:$W$500,"&lt;="&amp;DATE(2026,6,30))</f>
        <v>1</v>
      </c>
    </row>
    <row r="9" spans="1:26" x14ac:dyDescent="0.3">
      <c r="A9" s="12" t="s">
        <v>10</v>
      </c>
      <c r="B9" s="11"/>
      <c r="C9" s="11"/>
      <c r="D9" s="12" t="s">
        <v>11</v>
      </c>
      <c r="E9" s="11"/>
      <c r="F9" s="11"/>
    </row>
    <row r="10" spans="1:26" x14ac:dyDescent="0.3">
      <c r="A10" s="1" t="s">
        <v>12</v>
      </c>
      <c r="B10" s="1" t="s">
        <v>13</v>
      </c>
      <c r="D10" s="1" t="s">
        <v>14</v>
      </c>
      <c r="E10" s="1" t="s">
        <v>15</v>
      </c>
      <c r="F10" s="1" t="s">
        <v>5</v>
      </c>
      <c r="G10" s="1" t="s">
        <v>6</v>
      </c>
      <c r="H10" s="1" t="s">
        <v>16</v>
      </c>
      <c r="I10" s="1" t="s">
        <v>17</v>
      </c>
      <c r="J10" s="1" t="s">
        <v>18</v>
      </c>
      <c r="K10" s="1" t="s">
        <v>8</v>
      </c>
      <c r="L10" s="1" t="s">
        <v>19</v>
      </c>
      <c r="M10" s="1" t="s">
        <v>20</v>
      </c>
    </row>
    <row r="11" spans="1:26" x14ac:dyDescent="0.3">
      <c r="A11" s="2" t="s">
        <v>5</v>
      </c>
      <c r="B11" s="4">
        <f>COUNTIF('01_EOS관리대장'!$U$5:$U$500,A11)</f>
        <v>7</v>
      </c>
      <c r="D11" s="2" t="s">
        <v>21</v>
      </c>
      <c r="E11" s="2">
        <f>COUNTIF('01_EOS관리대장'!$C$5:$C$500,D11)</f>
        <v>8</v>
      </c>
      <c r="F11" s="2">
        <f>COUNTIFS('01_EOS관리대장'!$C$5:$C$500,D11,'01_EOS관리대장'!$U$5:$U$500,"Critical")</f>
        <v>2</v>
      </c>
      <c r="G11" s="2">
        <f>COUNTIFS('01_EOS관리대장'!$C$5:$C$500,D11,'01_EOS관리대장'!$U$5:$U$500,"High")</f>
        <v>6</v>
      </c>
      <c r="H11" s="2">
        <f>COUNTIFS('01_EOS관리대장'!$C$5:$C$500,D11,'01_EOS관리대장'!$U$5:$U$500,"Medium")</f>
        <v>0</v>
      </c>
      <c r="I11" s="2">
        <f>COUNTIFS('01_EOS관리대장'!$C$5:$C$500,D11,'01_EOS관리대장'!$U$5:$U$500,"Low")</f>
        <v>0</v>
      </c>
      <c r="J11" s="2">
        <f>COUNTIFS('01_EOS관리대장'!$C$5:$C$500,D11,'01_EOS관리대장'!$Y$5:$Y$500,"필요")</f>
        <v>6</v>
      </c>
      <c r="K11" s="2">
        <f>COUNTIFS('01_EOS관리대장'!$C$5:$C$500,D11,'01_EOS관리대장'!$X$5:$X$500,"진행중")</f>
        <v>1</v>
      </c>
      <c r="L11" s="2">
        <f ca="1">COUNTIFS('01_EOS관리대장'!$C$5:$C$500,D11,'01_EOS관리대장'!$T$5:$T$500,"위험")</f>
        <v>6</v>
      </c>
      <c r="M11" s="2"/>
    </row>
    <row r="12" spans="1:26" x14ac:dyDescent="0.3">
      <c r="A12" s="2" t="s">
        <v>6</v>
      </c>
      <c r="B12" s="4">
        <f>COUNTIF('01_EOS관리대장'!$U$5:$U$500,A12)</f>
        <v>28</v>
      </c>
      <c r="D12" s="2" t="s">
        <v>22</v>
      </c>
      <c r="E12" s="2">
        <f>COUNTIF('01_EOS관리대장'!$C$5:$C$500,D12)</f>
        <v>1</v>
      </c>
      <c r="F12" s="2">
        <f>COUNTIFS('01_EOS관리대장'!$C$5:$C$500,D12,'01_EOS관리대장'!$U$5:$U$500,"Critical")</f>
        <v>0</v>
      </c>
      <c r="G12" s="2">
        <f>COUNTIFS('01_EOS관리대장'!$C$5:$C$500,D12,'01_EOS관리대장'!$U$5:$U$500,"High")</f>
        <v>1</v>
      </c>
      <c r="H12" s="2">
        <f>COUNTIFS('01_EOS관리대장'!$C$5:$C$500,D12,'01_EOS관리대장'!$U$5:$U$500,"Medium")</f>
        <v>0</v>
      </c>
      <c r="I12" s="2">
        <f>COUNTIFS('01_EOS관리대장'!$C$5:$C$500,D12,'01_EOS관리대장'!$U$5:$U$500,"Low")</f>
        <v>0</v>
      </c>
      <c r="J12" s="2">
        <f>COUNTIFS('01_EOS관리대장'!$C$5:$C$500,D12,'01_EOS관리대장'!$Y$5:$Y$500,"필요")</f>
        <v>1</v>
      </c>
      <c r="K12" s="2">
        <f>COUNTIFS('01_EOS관리대장'!$C$5:$C$500,D12,'01_EOS관리대장'!$X$5:$X$500,"진행중")</f>
        <v>0</v>
      </c>
      <c r="L12" s="2">
        <f ca="1">COUNTIFS('01_EOS관리대장'!$C$5:$C$500,D12,'01_EOS관리대장'!$T$5:$T$500,"위험")</f>
        <v>1</v>
      </c>
      <c r="M12" s="2"/>
    </row>
    <row r="13" spans="1:26" x14ac:dyDescent="0.3">
      <c r="A13" s="2" t="s">
        <v>16</v>
      </c>
      <c r="B13" s="4">
        <f>COUNTIF('01_EOS관리대장'!$U$5:$U$500,A13)</f>
        <v>1</v>
      </c>
      <c r="D13" s="2" t="s">
        <v>23</v>
      </c>
      <c r="E13" s="2">
        <f>COUNTIF('01_EOS관리대장'!$C$5:$C$500,D13)</f>
        <v>1</v>
      </c>
      <c r="F13" s="2">
        <f>COUNTIFS('01_EOS관리대장'!$C$5:$C$500,D13,'01_EOS관리대장'!$U$5:$U$500,"Critical")</f>
        <v>0</v>
      </c>
      <c r="G13" s="2">
        <f>COUNTIFS('01_EOS관리대장'!$C$5:$C$500,D13,'01_EOS관리대장'!$U$5:$U$500,"High")</f>
        <v>1</v>
      </c>
      <c r="H13" s="2">
        <f>COUNTIFS('01_EOS관리대장'!$C$5:$C$500,D13,'01_EOS관리대장'!$U$5:$U$500,"Medium")</f>
        <v>0</v>
      </c>
      <c r="I13" s="2">
        <f>COUNTIFS('01_EOS관리대장'!$C$5:$C$500,D13,'01_EOS관리대장'!$U$5:$U$500,"Low")</f>
        <v>0</v>
      </c>
      <c r="J13" s="2">
        <f>COUNTIFS('01_EOS관리대장'!$C$5:$C$500,D13,'01_EOS관리대장'!$Y$5:$Y$500,"필요")</f>
        <v>0</v>
      </c>
      <c r="K13" s="2">
        <f>COUNTIFS('01_EOS관리대장'!$C$5:$C$500,D13,'01_EOS관리대장'!$X$5:$X$500,"진행중")</f>
        <v>0</v>
      </c>
      <c r="L13" s="2">
        <f ca="1">COUNTIFS('01_EOS관리대장'!$C$5:$C$500,D13,'01_EOS관리대장'!$T$5:$T$500,"위험")</f>
        <v>1</v>
      </c>
      <c r="M13" s="2"/>
    </row>
    <row r="14" spans="1:26" x14ac:dyDescent="0.3">
      <c r="A14" s="2" t="s">
        <v>17</v>
      </c>
      <c r="B14" s="4">
        <f>COUNTIF('01_EOS관리대장'!$U$5:$U$500,A14)</f>
        <v>0</v>
      </c>
      <c r="D14" s="2" t="s">
        <v>24</v>
      </c>
      <c r="E14" s="2">
        <f>COUNTIF('01_EOS관리대장'!$C$5:$C$500,D14)</f>
        <v>1</v>
      </c>
      <c r="F14" s="2">
        <f>COUNTIFS('01_EOS관리대장'!$C$5:$C$500,D14,'01_EOS관리대장'!$U$5:$U$500,"Critical")</f>
        <v>0</v>
      </c>
      <c r="G14" s="2">
        <f>COUNTIFS('01_EOS관리대장'!$C$5:$C$500,D14,'01_EOS관리대장'!$U$5:$U$500,"High")</f>
        <v>1</v>
      </c>
      <c r="H14" s="2">
        <f>COUNTIFS('01_EOS관리대장'!$C$5:$C$500,D14,'01_EOS관리대장'!$U$5:$U$500,"Medium")</f>
        <v>0</v>
      </c>
      <c r="I14" s="2">
        <f>COUNTIFS('01_EOS관리대장'!$C$5:$C$500,D14,'01_EOS관리대장'!$U$5:$U$500,"Low")</f>
        <v>0</v>
      </c>
      <c r="J14" s="2">
        <f>COUNTIFS('01_EOS관리대장'!$C$5:$C$500,D14,'01_EOS관리대장'!$Y$5:$Y$500,"필요")</f>
        <v>1</v>
      </c>
      <c r="K14" s="2">
        <f>COUNTIFS('01_EOS관리대장'!$C$5:$C$500,D14,'01_EOS관리대장'!$X$5:$X$500,"진행중")</f>
        <v>0</v>
      </c>
      <c r="L14" s="2">
        <f ca="1">COUNTIFS('01_EOS관리대장'!$C$5:$C$500,D14,'01_EOS관리대장'!$T$5:$T$500,"위험")</f>
        <v>0</v>
      </c>
      <c r="M14" s="2"/>
    </row>
    <row r="15" spans="1:26" x14ac:dyDescent="0.3">
      <c r="D15" s="2" t="s">
        <v>25</v>
      </c>
      <c r="E15" s="2">
        <f>COUNTIF('01_EOS관리대장'!$C$5:$C$500,D15)</f>
        <v>3</v>
      </c>
      <c r="F15" s="2">
        <f>COUNTIFS('01_EOS관리대장'!$C$5:$C$500,D15,'01_EOS관리대장'!$U$5:$U$500,"Critical")</f>
        <v>0</v>
      </c>
      <c r="G15" s="2">
        <f>COUNTIFS('01_EOS관리대장'!$C$5:$C$500,D15,'01_EOS관리대장'!$U$5:$U$500,"High")</f>
        <v>3</v>
      </c>
      <c r="H15" s="2">
        <f>COUNTIFS('01_EOS관리대장'!$C$5:$C$500,D15,'01_EOS관리대장'!$U$5:$U$500,"Medium")</f>
        <v>0</v>
      </c>
      <c r="I15" s="2">
        <f>COUNTIFS('01_EOS관리대장'!$C$5:$C$500,D15,'01_EOS관리대장'!$U$5:$U$500,"Low")</f>
        <v>0</v>
      </c>
      <c r="J15" s="2">
        <f>COUNTIFS('01_EOS관리대장'!$C$5:$C$500,D15,'01_EOS관리대장'!$Y$5:$Y$500,"필요")</f>
        <v>2</v>
      </c>
      <c r="K15" s="2">
        <f>COUNTIFS('01_EOS관리대장'!$C$5:$C$500,D15,'01_EOS관리대장'!$X$5:$X$500,"진행중")</f>
        <v>1</v>
      </c>
      <c r="L15" s="2">
        <f ca="1">COUNTIFS('01_EOS관리대장'!$C$5:$C$500,D15,'01_EOS관리대장'!$T$5:$T$500,"위험")</f>
        <v>1</v>
      </c>
      <c r="M15" s="2"/>
    </row>
    <row r="16" spans="1:26" x14ac:dyDescent="0.3">
      <c r="D16" s="2" t="s">
        <v>26</v>
      </c>
      <c r="E16" s="2">
        <f>COUNTIF('01_EOS관리대장'!$C$5:$C$500,D16)</f>
        <v>4</v>
      </c>
      <c r="F16" s="2">
        <f>COUNTIFS('01_EOS관리대장'!$C$5:$C$500,D16,'01_EOS관리대장'!$U$5:$U$500,"Critical")</f>
        <v>0</v>
      </c>
      <c r="G16" s="2">
        <f>COUNTIFS('01_EOS관리대장'!$C$5:$C$500,D16,'01_EOS관리대장'!$U$5:$U$500,"High")</f>
        <v>3</v>
      </c>
      <c r="H16" s="2">
        <f>COUNTIFS('01_EOS관리대장'!$C$5:$C$500,D16,'01_EOS관리대장'!$U$5:$U$500,"Medium")</f>
        <v>1</v>
      </c>
      <c r="I16" s="2">
        <f>COUNTIFS('01_EOS관리대장'!$C$5:$C$500,D16,'01_EOS관리대장'!$U$5:$U$500,"Low")</f>
        <v>0</v>
      </c>
      <c r="J16" s="2">
        <f>COUNTIFS('01_EOS관리대장'!$C$5:$C$500,D16,'01_EOS관리대장'!$Y$5:$Y$500,"필요")</f>
        <v>2</v>
      </c>
      <c r="K16" s="2">
        <f>COUNTIFS('01_EOS관리대장'!$C$5:$C$500,D16,'01_EOS관리대장'!$X$5:$X$500,"진행중")</f>
        <v>0</v>
      </c>
      <c r="L16" s="2">
        <f ca="1">COUNTIFS('01_EOS관리대장'!$C$5:$C$500,D16,'01_EOS관리대장'!$T$5:$T$500,"위험")</f>
        <v>2</v>
      </c>
      <c r="M16" s="2"/>
    </row>
    <row r="17" spans="1:13" x14ac:dyDescent="0.3">
      <c r="D17" s="2" t="s">
        <v>27</v>
      </c>
      <c r="E17" s="2">
        <f>COUNTIF('01_EOS관리대장'!$C$5:$C$500,D17)</f>
        <v>2</v>
      </c>
      <c r="F17" s="2">
        <f>COUNTIFS('01_EOS관리대장'!$C$5:$C$500,D17,'01_EOS관리대장'!$U$5:$U$500,"Critical")</f>
        <v>0</v>
      </c>
      <c r="G17" s="2">
        <f>COUNTIFS('01_EOS관리대장'!$C$5:$C$500,D17,'01_EOS관리대장'!$U$5:$U$500,"High")</f>
        <v>2</v>
      </c>
      <c r="H17" s="2">
        <f>COUNTIFS('01_EOS관리대장'!$C$5:$C$500,D17,'01_EOS관리대장'!$U$5:$U$500,"Medium")</f>
        <v>0</v>
      </c>
      <c r="I17" s="2">
        <f>COUNTIFS('01_EOS관리대장'!$C$5:$C$500,D17,'01_EOS관리대장'!$U$5:$U$500,"Low")</f>
        <v>0</v>
      </c>
      <c r="J17" s="2">
        <f>COUNTIFS('01_EOS관리대장'!$C$5:$C$500,D17,'01_EOS관리대장'!$Y$5:$Y$500,"필요")</f>
        <v>1</v>
      </c>
      <c r="K17" s="2">
        <f>COUNTIFS('01_EOS관리대장'!$C$5:$C$500,D17,'01_EOS관리대장'!$X$5:$X$500,"진행중")</f>
        <v>0</v>
      </c>
      <c r="L17" s="2">
        <f ca="1">COUNTIFS('01_EOS관리대장'!$C$5:$C$500,D17,'01_EOS관리대장'!$T$5:$T$500,"위험")</f>
        <v>1</v>
      </c>
      <c r="M17" s="2"/>
    </row>
    <row r="18" spans="1:13" x14ac:dyDescent="0.3">
      <c r="D18" s="2" t="s">
        <v>28</v>
      </c>
      <c r="E18" s="2">
        <f>COUNTIF('01_EOS관리대장'!$C$5:$C$500,D18)</f>
        <v>3</v>
      </c>
      <c r="F18" s="2">
        <f>COUNTIFS('01_EOS관리대장'!$C$5:$C$500,D18,'01_EOS관리대장'!$U$5:$U$500,"Critical")</f>
        <v>0</v>
      </c>
      <c r="G18" s="2">
        <f>COUNTIFS('01_EOS관리대장'!$C$5:$C$500,D18,'01_EOS관리대장'!$U$5:$U$500,"High")</f>
        <v>3</v>
      </c>
      <c r="H18" s="2">
        <f>COUNTIFS('01_EOS관리대장'!$C$5:$C$500,D18,'01_EOS관리대장'!$U$5:$U$500,"Medium")</f>
        <v>0</v>
      </c>
      <c r="I18" s="2">
        <f>COUNTIFS('01_EOS관리대장'!$C$5:$C$500,D18,'01_EOS관리대장'!$U$5:$U$500,"Low")</f>
        <v>0</v>
      </c>
      <c r="J18" s="2">
        <f>COUNTIFS('01_EOS관리대장'!$C$5:$C$500,D18,'01_EOS관리대장'!$Y$5:$Y$500,"필요")</f>
        <v>0</v>
      </c>
      <c r="K18" s="2">
        <f>COUNTIFS('01_EOS관리대장'!$C$5:$C$500,D18,'01_EOS관리대장'!$X$5:$X$500,"진행중")</f>
        <v>1</v>
      </c>
      <c r="L18" s="2">
        <f ca="1">COUNTIFS('01_EOS관리대장'!$C$5:$C$500,D18,'01_EOS관리대장'!$T$5:$T$500,"위험")</f>
        <v>3</v>
      </c>
      <c r="M18" s="2"/>
    </row>
    <row r="19" spans="1:13" x14ac:dyDescent="0.3">
      <c r="D19" s="2" t="s">
        <v>29</v>
      </c>
      <c r="E19" s="2">
        <f>COUNTIF('01_EOS관리대장'!$C$5:$C$500,D19)</f>
        <v>1</v>
      </c>
      <c r="F19" s="2">
        <f>COUNTIFS('01_EOS관리대장'!$C$5:$C$500,D19,'01_EOS관리대장'!$U$5:$U$500,"Critical")</f>
        <v>0</v>
      </c>
      <c r="G19" s="2">
        <f>COUNTIFS('01_EOS관리대장'!$C$5:$C$500,D19,'01_EOS관리대장'!$U$5:$U$500,"High")</f>
        <v>1</v>
      </c>
      <c r="H19" s="2">
        <f>COUNTIFS('01_EOS관리대장'!$C$5:$C$500,D19,'01_EOS관리대장'!$U$5:$U$500,"Medium")</f>
        <v>0</v>
      </c>
      <c r="I19" s="2">
        <f>COUNTIFS('01_EOS관리대장'!$C$5:$C$500,D19,'01_EOS관리대장'!$U$5:$U$500,"Low")</f>
        <v>0</v>
      </c>
      <c r="J19" s="2">
        <f>COUNTIFS('01_EOS관리대장'!$C$5:$C$500,D19,'01_EOS관리대장'!$Y$5:$Y$500,"필요")</f>
        <v>0</v>
      </c>
      <c r="K19" s="2">
        <f>COUNTIFS('01_EOS관리대장'!$C$5:$C$500,D19,'01_EOS관리대장'!$X$5:$X$500,"진행중")</f>
        <v>0</v>
      </c>
      <c r="L19" s="2">
        <f ca="1">COUNTIFS('01_EOS관리대장'!$C$5:$C$500,D19,'01_EOS관리대장'!$T$5:$T$500,"위험")</f>
        <v>0</v>
      </c>
      <c r="M19" s="2"/>
    </row>
    <row r="20" spans="1:13" x14ac:dyDescent="0.3">
      <c r="D20" s="2" t="s">
        <v>30</v>
      </c>
      <c r="E20" s="2">
        <f>COUNTIF('01_EOS관리대장'!$C$5:$C$500,D20)</f>
        <v>2</v>
      </c>
      <c r="F20" s="2">
        <f>COUNTIFS('01_EOS관리대장'!$C$5:$C$500,D20,'01_EOS관리대장'!$U$5:$U$500,"Critical")</f>
        <v>0</v>
      </c>
      <c r="G20" s="2">
        <f>COUNTIFS('01_EOS관리대장'!$C$5:$C$500,D20,'01_EOS관리대장'!$U$5:$U$500,"High")</f>
        <v>2</v>
      </c>
      <c r="H20" s="2">
        <f>COUNTIFS('01_EOS관리대장'!$C$5:$C$500,D20,'01_EOS관리대장'!$U$5:$U$500,"Medium")</f>
        <v>0</v>
      </c>
      <c r="I20" s="2">
        <f>COUNTIFS('01_EOS관리대장'!$C$5:$C$500,D20,'01_EOS관리대장'!$U$5:$U$500,"Low")</f>
        <v>0</v>
      </c>
      <c r="J20" s="2">
        <f>COUNTIFS('01_EOS관리대장'!$C$5:$C$500,D20,'01_EOS관리대장'!$Y$5:$Y$500,"필요")</f>
        <v>0</v>
      </c>
      <c r="K20" s="2">
        <f>COUNTIFS('01_EOS관리대장'!$C$5:$C$500,D20,'01_EOS관리대장'!$X$5:$X$500,"진행중")</f>
        <v>0</v>
      </c>
      <c r="L20" s="2">
        <f ca="1">COUNTIFS('01_EOS관리대장'!$C$5:$C$500,D20,'01_EOS관리대장'!$T$5:$T$500,"위험")</f>
        <v>2</v>
      </c>
      <c r="M20" s="2"/>
    </row>
    <row r="21" spans="1:13" x14ac:dyDescent="0.3">
      <c r="D21" s="2" t="s">
        <v>31</v>
      </c>
      <c r="E21" s="2">
        <f>COUNTIF('01_EOS관리대장'!$C$5:$C$500,D21)</f>
        <v>2</v>
      </c>
      <c r="F21" s="2">
        <f>COUNTIFS('01_EOS관리대장'!$C$5:$C$500,D21,'01_EOS관리대장'!$U$5:$U$500,"Critical")</f>
        <v>0</v>
      </c>
      <c r="G21" s="2">
        <f>COUNTIFS('01_EOS관리대장'!$C$5:$C$500,D21,'01_EOS관리대장'!$U$5:$U$500,"High")</f>
        <v>2</v>
      </c>
      <c r="H21" s="2">
        <f>COUNTIFS('01_EOS관리대장'!$C$5:$C$500,D21,'01_EOS관리대장'!$U$5:$U$500,"Medium")</f>
        <v>0</v>
      </c>
      <c r="I21" s="2">
        <f>COUNTIFS('01_EOS관리대장'!$C$5:$C$500,D21,'01_EOS관리대장'!$U$5:$U$500,"Low")</f>
        <v>0</v>
      </c>
      <c r="J21" s="2">
        <f>COUNTIFS('01_EOS관리대장'!$C$5:$C$500,D21,'01_EOS관리대장'!$Y$5:$Y$500,"필요")</f>
        <v>1</v>
      </c>
      <c r="K21" s="2">
        <f>COUNTIFS('01_EOS관리대장'!$C$5:$C$500,D21,'01_EOS관리대장'!$X$5:$X$500,"진행중")</f>
        <v>1</v>
      </c>
      <c r="L21" s="2">
        <f ca="1">COUNTIFS('01_EOS관리대장'!$C$5:$C$500,D21,'01_EOS관리대장'!$T$5:$T$500,"위험")</f>
        <v>2</v>
      </c>
      <c r="M21" s="2"/>
    </row>
    <row r="22" spans="1:13" x14ac:dyDescent="0.3">
      <c r="D22" s="2" t="s">
        <v>32</v>
      </c>
      <c r="E22" s="2">
        <f>COUNTIF('01_EOS관리대장'!$C$5:$C$500,D22)</f>
        <v>3</v>
      </c>
      <c r="F22" s="2">
        <f>COUNTIFS('01_EOS관리대장'!$C$5:$C$500,D22,'01_EOS관리대장'!$U$5:$U$500,"Critical")</f>
        <v>3</v>
      </c>
      <c r="G22" s="2">
        <f>COUNTIFS('01_EOS관리대장'!$C$5:$C$500,D22,'01_EOS관리대장'!$U$5:$U$500,"High")</f>
        <v>0</v>
      </c>
      <c r="H22" s="2">
        <f>COUNTIFS('01_EOS관리대장'!$C$5:$C$500,D22,'01_EOS관리대장'!$U$5:$U$500,"Medium")</f>
        <v>0</v>
      </c>
      <c r="I22" s="2">
        <f>COUNTIFS('01_EOS관리대장'!$C$5:$C$500,D22,'01_EOS관리대장'!$U$5:$U$500,"Low")</f>
        <v>0</v>
      </c>
      <c r="J22" s="2">
        <f>COUNTIFS('01_EOS관리대장'!$C$5:$C$500,D22,'01_EOS관리대장'!$Y$5:$Y$500,"필요")</f>
        <v>2</v>
      </c>
      <c r="K22" s="2">
        <f>COUNTIFS('01_EOS관리대장'!$C$5:$C$500,D22,'01_EOS관리대장'!$X$5:$X$500,"진행중")</f>
        <v>2</v>
      </c>
      <c r="L22" s="2">
        <f ca="1">COUNTIFS('01_EOS관리대장'!$C$5:$C$500,D22,'01_EOS관리대장'!$T$5:$T$500,"위험")</f>
        <v>3</v>
      </c>
      <c r="M22" s="2"/>
    </row>
    <row r="23" spans="1:13" x14ac:dyDescent="0.3">
      <c r="A23" s="12" t="s">
        <v>33</v>
      </c>
      <c r="B23" s="11"/>
      <c r="C23" s="11"/>
      <c r="D23" s="13" t="s">
        <v>34</v>
      </c>
      <c r="E23" s="13">
        <f>COUNTIF('01_EOS관리대장'!$C$5:$C$500,D23)</f>
        <v>2</v>
      </c>
      <c r="F23" s="13">
        <f>COUNTIFS('01_EOS관리대장'!$C$5:$C$500,D23,'01_EOS관리대장'!$U$5:$U$500,"Critical")</f>
        <v>0</v>
      </c>
      <c r="G23" s="13">
        <f>COUNTIFS('01_EOS관리대장'!$C$5:$C$500,D23,'01_EOS관리대장'!$U$5:$U$500,"High")</f>
        <v>2</v>
      </c>
      <c r="H23" s="13">
        <f>COUNTIFS('01_EOS관리대장'!$C$5:$C$500,D23,'01_EOS관리대장'!$U$5:$U$500,"Medium")</f>
        <v>0</v>
      </c>
      <c r="I23" s="13">
        <f>COUNTIFS('01_EOS관리대장'!$C$5:$C$500,D23,'01_EOS관리대장'!$U$5:$U$500,"Low")</f>
        <v>0</v>
      </c>
      <c r="J23" s="13">
        <f>COUNTIFS('01_EOS관리대장'!$C$5:$C$500,D23,'01_EOS관리대장'!$Y$5:$Y$500,"필요")</f>
        <v>2</v>
      </c>
      <c r="K23" s="13">
        <f>COUNTIFS('01_EOS관리대장'!$C$5:$C$500,D23,'01_EOS관리대장'!$X$5:$X$500,"진행중")</f>
        <v>1</v>
      </c>
      <c r="L23" s="13">
        <f ca="1">COUNTIFS('01_EOS관리대장'!$C$5:$C$500,D23,'01_EOS관리대장'!$T$5:$T$500,"위험")</f>
        <v>2</v>
      </c>
      <c r="M23" s="13"/>
    </row>
    <row r="24" spans="1:13" x14ac:dyDescent="0.3">
      <c r="A24" s="1" t="s">
        <v>35</v>
      </c>
      <c r="B24" s="1" t="s">
        <v>36</v>
      </c>
      <c r="C24" s="1" t="s">
        <v>37</v>
      </c>
      <c r="D24" s="1" t="s">
        <v>38</v>
      </c>
      <c r="E24" s="1" t="s">
        <v>39</v>
      </c>
      <c r="F24" s="1" t="s">
        <v>40</v>
      </c>
      <c r="G24" s="1" t="s">
        <v>12</v>
      </c>
      <c r="H24" s="1" t="s">
        <v>41</v>
      </c>
      <c r="I24" s="1" t="s">
        <v>42</v>
      </c>
      <c r="J24" s="1" t="s">
        <v>43</v>
      </c>
      <c r="K24" s="2">
        <f>COUNTIFS('01_EOS관리대장'!$C$5:$C$500,D24,'01_EOS관리대장'!$X$5:$X$500,"진행중")</f>
        <v>0</v>
      </c>
      <c r="L24" s="2">
        <f>COUNTIFS('01_EOS관리대장'!$C$5:$C$500,D24,'01_EOS관리대장'!$T$5:$T$500,"위험")</f>
        <v>0</v>
      </c>
      <c r="M24" s="2"/>
    </row>
    <row r="25" spans="1:13" x14ac:dyDescent="0.3">
      <c r="A25" s="2">
        <v>1</v>
      </c>
      <c r="B25" s="2" t="s">
        <v>44</v>
      </c>
      <c r="C25" s="2" t="s">
        <v>32</v>
      </c>
      <c r="D25" s="2" t="s">
        <v>45</v>
      </c>
      <c r="E25" s="2" t="s">
        <v>46</v>
      </c>
      <c r="F25" s="2" t="s">
        <v>47</v>
      </c>
      <c r="G25" s="2" t="s">
        <v>5</v>
      </c>
      <c r="H25" s="2" t="s">
        <v>48</v>
      </c>
      <c r="I25" s="3">
        <v>46265</v>
      </c>
      <c r="J25" s="2" t="s">
        <v>49</v>
      </c>
      <c r="K25" s="2">
        <f>COUNTIFS('01_EOS관리대장'!$C$5:$C$500,D25,'01_EOS관리대장'!$X$5:$X$500,"진행중")</f>
        <v>0</v>
      </c>
      <c r="L25" s="2">
        <f>COUNTIFS('01_EOS관리대장'!$C$5:$C$500,D25,'01_EOS관리대장'!$T$5:$T$500,"위험")</f>
        <v>0</v>
      </c>
      <c r="M25" s="2"/>
    </row>
    <row r="26" spans="1:13" ht="27.6" x14ac:dyDescent="0.3">
      <c r="A26" s="2">
        <v>2</v>
      </c>
      <c r="B26" s="2" t="s">
        <v>50</v>
      </c>
      <c r="C26" s="2" t="s">
        <v>32</v>
      </c>
      <c r="D26" s="2" t="s">
        <v>51</v>
      </c>
      <c r="E26" s="2" t="s">
        <v>52</v>
      </c>
      <c r="F26" s="2" t="s">
        <v>53</v>
      </c>
      <c r="G26" s="2" t="s">
        <v>5</v>
      </c>
      <c r="H26" s="2" t="s">
        <v>48</v>
      </c>
      <c r="I26" s="3">
        <v>46295</v>
      </c>
      <c r="J26" s="2" t="s">
        <v>49</v>
      </c>
    </row>
    <row r="27" spans="1:13" x14ac:dyDescent="0.3">
      <c r="A27" s="2">
        <v>3</v>
      </c>
      <c r="B27" s="2" t="s">
        <v>54</v>
      </c>
      <c r="C27" s="2" t="s">
        <v>32</v>
      </c>
      <c r="D27" s="2" t="s">
        <v>55</v>
      </c>
      <c r="E27" s="2" t="s">
        <v>56</v>
      </c>
      <c r="F27" s="2" t="s">
        <v>57</v>
      </c>
      <c r="G27" s="2" t="s">
        <v>5</v>
      </c>
      <c r="H27" s="2" t="s">
        <v>48</v>
      </c>
      <c r="I27" s="3">
        <v>46234</v>
      </c>
      <c r="J27" s="2" t="s">
        <v>49</v>
      </c>
    </row>
    <row r="28" spans="1:13" x14ac:dyDescent="0.3">
      <c r="A28" s="2">
        <v>4</v>
      </c>
      <c r="B28" s="2" t="s">
        <v>58</v>
      </c>
      <c r="C28" s="2" t="s">
        <v>59</v>
      </c>
      <c r="D28" s="2" t="s">
        <v>60</v>
      </c>
      <c r="E28" s="2" t="s">
        <v>61</v>
      </c>
      <c r="F28" s="2" t="s">
        <v>62</v>
      </c>
      <c r="G28" s="2" t="s">
        <v>5</v>
      </c>
      <c r="H28" s="2" t="s">
        <v>48</v>
      </c>
      <c r="I28" s="3">
        <v>46218</v>
      </c>
      <c r="J28" s="2" t="s">
        <v>63</v>
      </c>
    </row>
    <row r="29" spans="1:13" x14ac:dyDescent="0.3">
      <c r="A29" s="2">
        <v>5</v>
      </c>
      <c r="B29" s="2" t="s">
        <v>64</v>
      </c>
      <c r="C29" s="2" t="s">
        <v>59</v>
      </c>
      <c r="D29" s="2" t="s">
        <v>65</v>
      </c>
      <c r="E29" s="2" t="s">
        <v>66</v>
      </c>
      <c r="F29" s="2" t="s">
        <v>67</v>
      </c>
      <c r="G29" s="2" t="s">
        <v>5</v>
      </c>
      <c r="H29" s="2" t="s">
        <v>48</v>
      </c>
      <c r="I29" s="3">
        <v>46295</v>
      </c>
      <c r="J29" s="2" t="s">
        <v>63</v>
      </c>
    </row>
    <row r="30" spans="1:13" x14ac:dyDescent="0.3">
      <c r="A30" s="2">
        <v>6</v>
      </c>
      <c r="B30" s="2" t="s">
        <v>68</v>
      </c>
      <c r="C30" s="2" t="s">
        <v>21</v>
      </c>
      <c r="D30" s="2" t="s">
        <v>69</v>
      </c>
      <c r="E30" s="2" t="s">
        <v>70</v>
      </c>
      <c r="F30" s="2" t="s">
        <v>71</v>
      </c>
      <c r="G30" s="2" t="s">
        <v>5</v>
      </c>
      <c r="H30" s="2" t="s">
        <v>48</v>
      </c>
      <c r="I30" s="3">
        <v>46265</v>
      </c>
      <c r="J30" s="2" t="s">
        <v>72</v>
      </c>
    </row>
    <row r="31" spans="1:13" x14ac:dyDescent="0.3">
      <c r="A31" s="2">
        <v>7</v>
      </c>
      <c r="B31" s="2" t="s">
        <v>73</v>
      </c>
      <c r="C31" s="2" t="s">
        <v>21</v>
      </c>
      <c r="D31" s="2" t="s">
        <v>74</v>
      </c>
      <c r="E31" s="2" t="s">
        <v>75</v>
      </c>
      <c r="F31" s="2" t="s">
        <v>76</v>
      </c>
      <c r="G31" s="2" t="s">
        <v>5</v>
      </c>
      <c r="H31" s="2" t="s">
        <v>48</v>
      </c>
      <c r="I31" s="3">
        <v>46295</v>
      </c>
      <c r="J31" s="2" t="s">
        <v>77</v>
      </c>
    </row>
    <row r="32" spans="1:13" ht="27.6" x14ac:dyDescent="0.3">
      <c r="A32" s="2">
        <v>8</v>
      </c>
      <c r="B32" s="2" t="s">
        <v>78</v>
      </c>
      <c r="C32" s="2" t="s">
        <v>34</v>
      </c>
      <c r="D32" s="2" t="s">
        <v>79</v>
      </c>
      <c r="E32" s="2" t="s">
        <v>80</v>
      </c>
      <c r="F32" s="2" t="s">
        <v>81</v>
      </c>
      <c r="G32" s="2" t="s">
        <v>6</v>
      </c>
      <c r="H32" s="2" t="s">
        <v>48</v>
      </c>
      <c r="I32" s="3">
        <v>46203</v>
      </c>
      <c r="J32" s="2" t="s">
        <v>77</v>
      </c>
    </row>
    <row r="33" spans="1:10" x14ac:dyDescent="0.3">
      <c r="A33" s="2">
        <v>9</v>
      </c>
      <c r="B33" s="2" t="s">
        <v>82</v>
      </c>
      <c r="C33" s="2" t="s">
        <v>34</v>
      </c>
      <c r="D33" s="2" t="s">
        <v>83</v>
      </c>
      <c r="E33" s="2" t="s">
        <v>84</v>
      </c>
      <c r="F33" s="2" t="s">
        <v>85</v>
      </c>
      <c r="G33" s="2" t="s">
        <v>6</v>
      </c>
      <c r="H33" s="2" t="s">
        <v>48</v>
      </c>
      <c r="I33" s="3">
        <v>46249</v>
      </c>
      <c r="J33" s="2" t="s">
        <v>77</v>
      </c>
    </row>
    <row r="34" spans="1:10" x14ac:dyDescent="0.3">
      <c r="A34" s="2">
        <v>10</v>
      </c>
      <c r="B34" s="2" t="s">
        <v>86</v>
      </c>
      <c r="C34" s="2" t="s">
        <v>21</v>
      </c>
      <c r="D34" s="2" t="s">
        <v>69</v>
      </c>
      <c r="E34" s="2" t="s">
        <v>87</v>
      </c>
      <c r="F34" s="2" t="s">
        <v>88</v>
      </c>
      <c r="G34" s="2" t="s">
        <v>6</v>
      </c>
      <c r="H34" s="2" t="s">
        <v>48</v>
      </c>
      <c r="I34" s="3">
        <v>46295</v>
      </c>
      <c r="J34" s="2" t="s">
        <v>89</v>
      </c>
    </row>
  </sheetData>
  <mergeCells count="5">
    <mergeCell ref="A1:M1"/>
    <mergeCell ref="A2:M2"/>
    <mergeCell ref="A4:M4"/>
    <mergeCell ref="A9:F9"/>
    <mergeCell ref="A23:M23"/>
  </mergeCells>
  <phoneticPr fontId="9" type="noConversion"/>
  <conditionalFormatting sqref="A6:G6">
    <cfRule type="dataBar" priority="1">
      <dataBar>
        <cfvo type="min"/>
        <cfvo type="max"/>
        <color rgb="FF166534"/>
      </dataBar>
    </cfRule>
  </conditionalFormatting>
  <conditionalFormatting sqref="B11:B14">
    <cfRule type="dataBar" priority="2">
      <dataBar>
        <cfvo type="min"/>
        <cfvo type="max"/>
        <color rgb="FF0B4F3A"/>
      </dataBar>
    </cfRule>
  </conditionalFormatting>
  <conditionalFormatting sqref="F11:G25">
    <cfRule type="dataBar" priority="3">
      <dataBar>
        <cfvo type="min"/>
        <cfvo type="max"/>
        <color rgb="FFDC2626"/>
      </dataBar>
    </cfRule>
  </conditionalFormatting>
  <conditionalFormatting sqref="A6:G6">
    <cfRule type="dataBar" priority="4">
      <dataBar>
        <cfvo type="min"/>
        <cfvo type="max"/>
        <color rgb="FF166534"/>
      </dataBar>
      <extLst>
        <ext xmlns:x14="http://schemas.microsoft.com/office/spreadsheetml/2009/9/main" uri="{B025F937-C7B1-47D3-B67F-A62EFF666E3E}">
          <x14:id>{D40073A8-302E-912B-7A8E-C1FBADB27351}</x14:id>
        </ext>
      </extLst>
    </cfRule>
  </conditionalFormatting>
  <conditionalFormatting sqref="B11:B14">
    <cfRule type="dataBar" priority="5">
      <dataBar>
        <cfvo type="min"/>
        <cfvo type="max"/>
        <color rgb="FF0B4F3A"/>
      </dataBar>
      <extLst>
        <ext xmlns:x14="http://schemas.microsoft.com/office/spreadsheetml/2009/9/main" uri="{B025F937-C7B1-47D3-B67F-A62EFF666E3E}">
          <x14:id>{C70D83D8-D148-2DAB-CCB3-ED718FA55958}</x14:id>
        </ext>
      </extLst>
    </cfRule>
  </conditionalFormatting>
  <conditionalFormatting sqref="F11:G25">
    <cfRule type="dataBar" priority="6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{72B62A02-83B6-1913-AF54-D0B146551015}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0073A8-302E-912B-7A8E-C1FBADB27351}">
            <x14:dataBar>
              <x14:cfvo type="min"/>
              <x14:cfvo type="max"/>
              <x14:negativeFillColor auto="1"/>
              <x14:axisColor auto="1"/>
            </x14:dataBar>
          </x14:cfRule>
          <xm:sqref>A6:G6</xm:sqref>
        </x14:conditionalFormatting>
        <x14:conditionalFormatting xmlns:xm="http://schemas.microsoft.com/office/excel/2006/main">
          <x14:cfRule type="dataBar" id="{C70D83D8-D148-2DAB-CCB3-ED718FA55958}">
            <x14:dataBar>
              <x14:cfvo type="min"/>
              <x14:cfvo type="max"/>
              <x14:negativeFillColor auto="1"/>
              <x14:axisColor auto="1"/>
            </x14:dataBar>
          </x14:cfRule>
          <xm:sqref>B11:B14</xm:sqref>
        </x14:conditionalFormatting>
        <x14:conditionalFormatting xmlns:xm="http://schemas.microsoft.com/office/excel/2006/main">
          <x14:cfRule type="dataBar" id="{72B62A02-83B6-1913-AF54-D0B146551015}">
            <x14:dataBar>
              <x14:cfvo type="min"/>
              <x14:cfvo type="max"/>
              <x14:negativeFillColor auto="1"/>
              <x14:axisColor auto="1"/>
            </x14:dataBar>
          </x14:cfRule>
          <xm:sqref>F11:G25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topLeftCell="A16" workbookViewId="0">
      <selection activeCell="E18" sqref="E18"/>
    </sheetView>
  </sheetViews>
  <sheetFormatPr defaultRowHeight="14.4" x14ac:dyDescent="0.3"/>
  <cols>
    <col min="1" max="1" width="6" customWidth="1"/>
    <col min="2" max="2" width="18" customWidth="1"/>
    <col min="3" max="3" width="16" customWidth="1"/>
    <col min="4" max="4" width="20" customWidth="1"/>
    <col min="5" max="5" width="16" customWidth="1"/>
    <col min="6" max="6" width="10" customWidth="1"/>
    <col min="7" max="7" width="20" customWidth="1"/>
    <col min="8" max="8" width="14" customWidth="1"/>
    <col min="9" max="9" width="16" customWidth="1"/>
    <col min="10" max="10" width="24" customWidth="1"/>
    <col min="11" max="12" width="10" customWidth="1"/>
    <col min="13" max="13" width="14" customWidth="1"/>
    <col min="14" max="14" width="16" customWidth="1"/>
    <col min="15" max="17" width="12" customWidth="1"/>
    <col min="18" max="18" width="30" customWidth="1"/>
    <col min="19" max="21" width="10" customWidth="1"/>
    <col min="22" max="25" width="12" customWidth="1"/>
    <col min="26" max="26" width="36" customWidth="1"/>
  </cols>
  <sheetData>
    <row r="1" spans="1:26" ht="24" customHeight="1" x14ac:dyDescent="0.3">
      <c r="A1" s="8" t="s">
        <v>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3">
      <c r="A2" s="10" t="s">
        <v>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4" spans="1:26" ht="27.6" x14ac:dyDescent="0.3">
      <c r="A4" s="1" t="s">
        <v>92</v>
      </c>
      <c r="B4" s="1" t="s">
        <v>36</v>
      </c>
      <c r="C4" s="1" t="s">
        <v>14</v>
      </c>
      <c r="D4" s="1" t="s">
        <v>38</v>
      </c>
      <c r="E4" s="1" t="s">
        <v>93</v>
      </c>
      <c r="F4" s="1" t="s">
        <v>94</v>
      </c>
      <c r="G4" s="1" t="s">
        <v>39</v>
      </c>
      <c r="H4" s="1" t="s">
        <v>40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43</v>
      </c>
      <c r="N4" s="1" t="s">
        <v>99</v>
      </c>
      <c r="O4" s="1" t="s">
        <v>100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12</v>
      </c>
      <c r="V4" s="1" t="s">
        <v>41</v>
      </c>
      <c r="W4" s="1" t="s">
        <v>42</v>
      </c>
      <c r="X4" s="1" t="s">
        <v>106</v>
      </c>
      <c r="Y4" s="1" t="s">
        <v>107</v>
      </c>
      <c r="Z4" s="1" t="s">
        <v>20</v>
      </c>
    </row>
    <row r="5" spans="1:26" ht="27.6" x14ac:dyDescent="0.3">
      <c r="A5" s="2">
        <v>1</v>
      </c>
      <c r="B5" s="2" t="s">
        <v>108</v>
      </c>
      <c r="C5" s="2" t="s">
        <v>109</v>
      </c>
      <c r="D5" s="2" t="s">
        <v>110</v>
      </c>
      <c r="E5" s="2" t="s">
        <v>111</v>
      </c>
      <c r="F5" s="2" t="s">
        <v>112</v>
      </c>
      <c r="G5" s="2" t="s">
        <v>113</v>
      </c>
      <c r="H5" s="2" t="s">
        <v>114</v>
      </c>
      <c r="I5" s="2" t="s">
        <v>115</v>
      </c>
      <c r="J5" s="2" t="s">
        <v>116</v>
      </c>
      <c r="K5" s="2" t="s">
        <v>117</v>
      </c>
      <c r="L5" s="2" t="s">
        <v>118</v>
      </c>
      <c r="M5" s="2" t="s">
        <v>119</v>
      </c>
      <c r="N5" s="2" t="s">
        <v>120</v>
      </c>
      <c r="O5" s="3">
        <v>46295</v>
      </c>
      <c r="P5" s="3">
        <v>46387</v>
      </c>
      <c r="Q5" s="3">
        <v>46387</v>
      </c>
      <c r="R5" s="2" t="s">
        <v>121</v>
      </c>
      <c r="S5" s="4">
        <f t="shared" ref="S5:S40" ca="1" si="0">O5-TODAY()</f>
        <v>45</v>
      </c>
      <c r="T5" s="2" t="str">
        <f t="shared" ref="T5:T40" ca="1" si="1">IF(O5&lt;TODAY(),"위험",IF(O5-TODAY()&lt;=90,"위험",IF(O5-TODAY()&lt;=180,"경고",IF(O5-TODAY()&lt;=365,"주의","정상"))))</f>
        <v>위험</v>
      </c>
      <c r="U5" s="2" t="str">
        <f>IFERROR(VLOOKUP($B5,'02_위험도평가'!$A$5:$M$200,13,FALSE),"평가필요")</f>
        <v>High</v>
      </c>
      <c r="V5" s="2" t="s">
        <v>48</v>
      </c>
      <c r="W5" s="3">
        <v>46265</v>
      </c>
      <c r="X5" s="2" t="s">
        <v>122</v>
      </c>
      <c r="Y5" s="2" t="s">
        <v>123</v>
      </c>
      <c r="Z5" s="2" t="s">
        <v>124</v>
      </c>
    </row>
    <row r="6" spans="1:26" ht="27.6" x14ac:dyDescent="0.3">
      <c r="A6" s="2">
        <v>2</v>
      </c>
      <c r="B6" s="2" t="s">
        <v>58</v>
      </c>
      <c r="C6" s="2" t="s">
        <v>59</v>
      </c>
      <c r="D6" s="2" t="s">
        <v>60</v>
      </c>
      <c r="E6" s="2" t="s">
        <v>125</v>
      </c>
      <c r="F6" s="2" t="s">
        <v>126</v>
      </c>
      <c r="G6" s="2" t="s">
        <v>61</v>
      </c>
      <c r="H6" s="2" t="s">
        <v>62</v>
      </c>
      <c r="I6" s="2" t="s">
        <v>127</v>
      </c>
      <c r="J6" s="2" t="s">
        <v>128</v>
      </c>
      <c r="K6" s="2" t="s">
        <v>117</v>
      </c>
      <c r="L6" s="2" t="s">
        <v>129</v>
      </c>
      <c r="M6" s="2" t="s">
        <v>63</v>
      </c>
      <c r="N6" s="2" t="s">
        <v>130</v>
      </c>
      <c r="O6" s="3">
        <v>46234</v>
      </c>
      <c r="P6" s="3">
        <v>46387</v>
      </c>
      <c r="Q6" s="3">
        <v>46387</v>
      </c>
      <c r="R6" s="2" t="s">
        <v>131</v>
      </c>
      <c r="S6" s="4">
        <f t="shared" ca="1" si="0"/>
        <v>-16</v>
      </c>
      <c r="T6" s="2" t="str">
        <f t="shared" ca="1" si="1"/>
        <v>위험</v>
      </c>
      <c r="U6" s="2" t="str">
        <f>IFERROR(VLOOKUP($B6,'02_위험도평가'!$A$5:$M$200,13,FALSE),"평가필요")</f>
        <v>Critical</v>
      </c>
      <c r="V6" s="2" t="s">
        <v>48</v>
      </c>
      <c r="W6" s="3">
        <v>46218</v>
      </c>
      <c r="X6" s="2" t="s">
        <v>8</v>
      </c>
      <c r="Y6" s="2" t="s">
        <v>132</v>
      </c>
      <c r="Z6" s="2" t="s">
        <v>133</v>
      </c>
    </row>
    <row r="7" spans="1:26" x14ac:dyDescent="0.3">
      <c r="A7" s="2">
        <v>3</v>
      </c>
      <c r="B7" s="2" t="s">
        <v>64</v>
      </c>
      <c r="C7" s="2" t="s">
        <v>59</v>
      </c>
      <c r="D7" s="2" t="s">
        <v>65</v>
      </c>
      <c r="E7" s="2" t="s">
        <v>134</v>
      </c>
      <c r="F7" s="2" t="s">
        <v>126</v>
      </c>
      <c r="G7" s="2" t="s">
        <v>66</v>
      </c>
      <c r="H7" s="2" t="s">
        <v>67</v>
      </c>
      <c r="I7" s="2" t="s">
        <v>127</v>
      </c>
      <c r="J7" s="2" t="s">
        <v>135</v>
      </c>
      <c r="K7" s="2" t="s">
        <v>117</v>
      </c>
      <c r="L7" s="2" t="s">
        <v>129</v>
      </c>
      <c r="M7" s="2" t="s">
        <v>63</v>
      </c>
      <c r="N7" s="2" t="s">
        <v>130</v>
      </c>
      <c r="O7" s="3">
        <v>46326</v>
      </c>
      <c r="P7" s="3">
        <v>46418</v>
      </c>
      <c r="Q7" s="3">
        <v>46387</v>
      </c>
      <c r="R7" s="2" t="s">
        <v>136</v>
      </c>
      <c r="S7" s="4">
        <f t="shared" ca="1" si="0"/>
        <v>76</v>
      </c>
      <c r="T7" s="2" t="str">
        <f t="shared" ca="1" si="1"/>
        <v>위험</v>
      </c>
      <c r="U7" s="2" t="str">
        <f>IFERROR(VLOOKUP($B7,'02_위험도평가'!$A$5:$M$200,13,FALSE),"평가필요")</f>
        <v>Critical</v>
      </c>
      <c r="V7" s="2" t="s">
        <v>48</v>
      </c>
      <c r="W7" s="3">
        <v>46295</v>
      </c>
      <c r="X7" s="2" t="s">
        <v>122</v>
      </c>
      <c r="Y7" s="2" t="s">
        <v>132</v>
      </c>
      <c r="Z7" s="2" t="s">
        <v>137</v>
      </c>
    </row>
    <row r="8" spans="1:26" x14ac:dyDescent="0.3">
      <c r="A8" s="2">
        <v>4</v>
      </c>
      <c r="B8" s="2" t="s">
        <v>78</v>
      </c>
      <c r="C8" s="2" t="s">
        <v>34</v>
      </c>
      <c r="D8" s="2" t="s">
        <v>79</v>
      </c>
      <c r="E8" s="2" t="s">
        <v>138</v>
      </c>
      <c r="F8" s="2" t="s">
        <v>34</v>
      </c>
      <c r="G8" s="2" t="s">
        <v>80</v>
      </c>
      <c r="H8" s="2" t="s">
        <v>81</v>
      </c>
      <c r="I8" s="2" t="s">
        <v>139</v>
      </c>
      <c r="J8" s="2" t="s">
        <v>140</v>
      </c>
      <c r="K8" s="2" t="s">
        <v>117</v>
      </c>
      <c r="L8" s="2" t="s">
        <v>129</v>
      </c>
      <c r="M8" s="2" t="s">
        <v>77</v>
      </c>
      <c r="N8" s="2" t="s">
        <v>141</v>
      </c>
      <c r="O8" s="3">
        <v>46203</v>
      </c>
      <c r="P8" s="3">
        <v>46387</v>
      </c>
      <c r="Q8" s="3">
        <v>46387</v>
      </c>
      <c r="R8" s="2" t="s">
        <v>142</v>
      </c>
      <c r="S8" s="4">
        <f t="shared" ca="1" si="0"/>
        <v>-47</v>
      </c>
      <c r="T8" s="2" t="str">
        <f t="shared" ca="1" si="1"/>
        <v>위험</v>
      </c>
      <c r="U8" s="2" t="str">
        <f>IFERROR(VLOOKUP($B8,'02_위험도평가'!$A$5:$M$200,13,FALSE),"평가필요")</f>
        <v>High</v>
      </c>
      <c r="V8" s="2" t="s">
        <v>48</v>
      </c>
      <c r="W8" s="3">
        <v>46203</v>
      </c>
      <c r="X8" s="2" t="s">
        <v>8</v>
      </c>
      <c r="Y8" s="2" t="s">
        <v>123</v>
      </c>
      <c r="Z8" s="2" t="s">
        <v>143</v>
      </c>
    </row>
    <row r="9" spans="1:26" ht="27.6" x14ac:dyDescent="0.3">
      <c r="A9" s="2">
        <v>5</v>
      </c>
      <c r="B9" s="2" t="s">
        <v>82</v>
      </c>
      <c r="C9" s="2" t="s">
        <v>34</v>
      </c>
      <c r="D9" s="2" t="s">
        <v>83</v>
      </c>
      <c r="E9" s="2" t="s">
        <v>138</v>
      </c>
      <c r="F9" s="2" t="s">
        <v>34</v>
      </c>
      <c r="G9" s="2" t="s">
        <v>84</v>
      </c>
      <c r="H9" s="2" t="s">
        <v>85</v>
      </c>
      <c r="I9" s="2" t="s">
        <v>144</v>
      </c>
      <c r="J9" s="2" t="s">
        <v>145</v>
      </c>
      <c r="K9" s="2" t="s">
        <v>117</v>
      </c>
      <c r="L9" s="2" t="s">
        <v>146</v>
      </c>
      <c r="M9" s="2" t="s">
        <v>77</v>
      </c>
      <c r="N9" s="2" t="s">
        <v>84</v>
      </c>
      <c r="O9" s="3">
        <v>46265</v>
      </c>
      <c r="P9" s="3">
        <v>46387</v>
      </c>
      <c r="Q9" s="3">
        <v>46387</v>
      </c>
      <c r="R9" s="2" t="s">
        <v>147</v>
      </c>
      <c r="S9" s="4">
        <f t="shared" ca="1" si="0"/>
        <v>15</v>
      </c>
      <c r="T9" s="2" t="str">
        <f t="shared" ca="1" si="1"/>
        <v>위험</v>
      </c>
      <c r="U9" s="2" t="str">
        <f>IFERROR(VLOOKUP($B9,'02_위험도평가'!$A$5:$M$200,13,FALSE),"평가필요")</f>
        <v>High</v>
      </c>
      <c r="V9" s="2" t="s">
        <v>48</v>
      </c>
      <c r="W9" s="3">
        <v>46249</v>
      </c>
      <c r="X9" s="2" t="s">
        <v>148</v>
      </c>
      <c r="Y9" s="2" t="s">
        <v>123</v>
      </c>
      <c r="Z9" s="2" t="s">
        <v>149</v>
      </c>
    </row>
    <row r="10" spans="1:26" x14ac:dyDescent="0.3">
      <c r="A10" s="2">
        <v>6</v>
      </c>
      <c r="B10" s="2" t="s">
        <v>86</v>
      </c>
      <c r="C10" s="2" t="s">
        <v>21</v>
      </c>
      <c r="D10" s="2" t="s">
        <v>69</v>
      </c>
      <c r="E10" s="2" t="s">
        <v>150</v>
      </c>
      <c r="F10" s="2" t="s">
        <v>151</v>
      </c>
      <c r="G10" s="2" t="s">
        <v>87</v>
      </c>
      <c r="H10" s="2" t="s">
        <v>88</v>
      </c>
      <c r="I10" s="2" t="s">
        <v>152</v>
      </c>
      <c r="J10" s="2" t="s">
        <v>153</v>
      </c>
      <c r="K10" s="2" t="s">
        <v>117</v>
      </c>
      <c r="L10" s="2" t="s">
        <v>129</v>
      </c>
      <c r="M10" s="2" t="s">
        <v>89</v>
      </c>
      <c r="N10" s="2" t="s">
        <v>154</v>
      </c>
      <c r="O10" s="3">
        <v>46203</v>
      </c>
      <c r="P10" s="3">
        <v>46203</v>
      </c>
      <c r="Q10" s="3">
        <v>46387</v>
      </c>
      <c r="R10" s="2" t="s">
        <v>155</v>
      </c>
      <c r="S10" s="4">
        <f t="shared" ca="1" si="0"/>
        <v>-47</v>
      </c>
      <c r="T10" s="2" t="str">
        <f t="shared" ca="1" si="1"/>
        <v>위험</v>
      </c>
      <c r="U10" s="2" t="str">
        <f>IFERROR(VLOOKUP($B10,'02_위험도평가'!$A$5:$M$200,13,FALSE),"평가필요")</f>
        <v>High</v>
      </c>
      <c r="V10" s="2" t="s">
        <v>48</v>
      </c>
      <c r="W10" s="3">
        <v>46295</v>
      </c>
      <c r="X10" s="2" t="s">
        <v>122</v>
      </c>
      <c r="Y10" s="2" t="s">
        <v>123</v>
      </c>
      <c r="Z10" s="2" t="s">
        <v>156</v>
      </c>
    </row>
    <row r="11" spans="1:26" x14ac:dyDescent="0.3">
      <c r="A11" s="2">
        <v>7</v>
      </c>
      <c r="B11" s="2" t="s">
        <v>157</v>
      </c>
      <c r="C11" s="2" t="s">
        <v>21</v>
      </c>
      <c r="D11" s="2" t="s">
        <v>74</v>
      </c>
      <c r="E11" s="2" t="s">
        <v>158</v>
      </c>
      <c r="F11" s="2" t="s">
        <v>151</v>
      </c>
      <c r="G11" s="2" t="s">
        <v>87</v>
      </c>
      <c r="H11" s="2" t="s">
        <v>88</v>
      </c>
      <c r="I11" s="2" t="s">
        <v>152</v>
      </c>
      <c r="J11" s="2" t="s">
        <v>159</v>
      </c>
      <c r="K11" s="2" t="s">
        <v>117</v>
      </c>
      <c r="L11" s="2" t="s">
        <v>129</v>
      </c>
      <c r="M11" s="2" t="s">
        <v>89</v>
      </c>
      <c r="N11" s="2" t="s">
        <v>154</v>
      </c>
      <c r="O11" s="3">
        <v>46203</v>
      </c>
      <c r="P11" s="3">
        <v>46203</v>
      </c>
      <c r="Q11" s="3">
        <v>46387</v>
      </c>
      <c r="R11" s="2" t="s">
        <v>155</v>
      </c>
      <c r="S11" s="4">
        <f t="shared" ca="1" si="0"/>
        <v>-47</v>
      </c>
      <c r="T11" s="2" t="str">
        <f t="shared" ca="1" si="1"/>
        <v>위험</v>
      </c>
      <c r="U11" s="2" t="str">
        <f>IFERROR(VLOOKUP($B11,'02_위험도평가'!$A$5:$M$200,13,FALSE),"평가필요")</f>
        <v>High</v>
      </c>
      <c r="V11" s="2" t="s">
        <v>48</v>
      </c>
      <c r="W11" s="3">
        <v>46295</v>
      </c>
      <c r="X11" s="2" t="s">
        <v>122</v>
      </c>
      <c r="Y11" s="2" t="s">
        <v>123</v>
      </c>
      <c r="Z11" s="2" t="s">
        <v>160</v>
      </c>
    </row>
    <row r="12" spans="1:26" x14ac:dyDescent="0.3">
      <c r="A12" s="2">
        <v>8</v>
      </c>
      <c r="B12" s="2" t="s">
        <v>68</v>
      </c>
      <c r="C12" s="2" t="s">
        <v>21</v>
      </c>
      <c r="D12" s="2" t="s">
        <v>69</v>
      </c>
      <c r="E12" s="2" t="s">
        <v>150</v>
      </c>
      <c r="F12" s="2" t="s">
        <v>161</v>
      </c>
      <c r="G12" s="2" t="s">
        <v>70</v>
      </c>
      <c r="H12" s="2" t="s">
        <v>71</v>
      </c>
      <c r="I12" s="2" t="s">
        <v>162</v>
      </c>
      <c r="J12" s="2" t="s">
        <v>153</v>
      </c>
      <c r="K12" s="2" t="s">
        <v>117</v>
      </c>
      <c r="L12" s="2" t="s">
        <v>129</v>
      </c>
      <c r="M12" s="2" t="s">
        <v>72</v>
      </c>
      <c r="N12" s="2" t="s">
        <v>163</v>
      </c>
      <c r="O12" s="3">
        <v>46173</v>
      </c>
      <c r="P12" s="3">
        <v>46173</v>
      </c>
      <c r="Q12" s="3">
        <v>46387</v>
      </c>
      <c r="R12" s="2" t="s">
        <v>164</v>
      </c>
      <c r="S12" s="4">
        <f t="shared" ca="1" si="0"/>
        <v>-77</v>
      </c>
      <c r="T12" s="2" t="str">
        <f t="shared" ca="1" si="1"/>
        <v>위험</v>
      </c>
      <c r="U12" s="2" t="str">
        <f>IFERROR(VLOOKUP($B12,'02_위험도평가'!$A$5:$M$200,13,FALSE),"평가필요")</f>
        <v>Critical</v>
      </c>
      <c r="V12" s="2" t="s">
        <v>48</v>
      </c>
      <c r="W12" s="3">
        <v>46265</v>
      </c>
      <c r="X12" s="2" t="s">
        <v>8</v>
      </c>
      <c r="Y12" s="2" t="s">
        <v>123</v>
      </c>
      <c r="Z12" s="2" t="s">
        <v>165</v>
      </c>
    </row>
    <row r="13" spans="1:26" ht="27.6" x14ac:dyDescent="0.3">
      <c r="A13" s="2">
        <v>9</v>
      </c>
      <c r="B13" s="2" t="s">
        <v>73</v>
      </c>
      <c r="C13" s="2" t="s">
        <v>21</v>
      </c>
      <c r="D13" s="2" t="s">
        <v>74</v>
      </c>
      <c r="E13" s="2" t="s">
        <v>158</v>
      </c>
      <c r="F13" s="2" t="s">
        <v>166</v>
      </c>
      <c r="G13" s="2" t="s">
        <v>75</v>
      </c>
      <c r="H13" s="2" t="s">
        <v>76</v>
      </c>
      <c r="I13" s="2" t="s">
        <v>167</v>
      </c>
      <c r="J13" s="2" t="s">
        <v>159</v>
      </c>
      <c r="K13" s="2" t="s">
        <v>117</v>
      </c>
      <c r="L13" s="2" t="s">
        <v>129</v>
      </c>
      <c r="M13" s="2" t="s">
        <v>77</v>
      </c>
      <c r="N13" s="2" t="s">
        <v>141</v>
      </c>
      <c r="O13" s="3">
        <v>46173</v>
      </c>
      <c r="P13" s="3">
        <v>46173</v>
      </c>
      <c r="Q13" s="3">
        <v>46387</v>
      </c>
      <c r="R13" s="2" t="s">
        <v>168</v>
      </c>
      <c r="S13" s="4">
        <f t="shared" ca="1" si="0"/>
        <v>-77</v>
      </c>
      <c r="T13" s="2" t="str">
        <f t="shared" ca="1" si="1"/>
        <v>위험</v>
      </c>
      <c r="U13" s="2" t="str">
        <f>IFERROR(VLOOKUP($B13,'02_위험도평가'!$A$5:$M$200,13,FALSE),"평가필요")</f>
        <v>Critical</v>
      </c>
      <c r="V13" s="2" t="s">
        <v>48</v>
      </c>
      <c r="W13" s="3">
        <v>46295</v>
      </c>
      <c r="X13" s="2" t="s">
        <v>122</v>
      </c>
      <c r="Y13" s="2" t="s">
        <v>123</v>
      </c>
      <c r="Z13" s="2" t="s">
        <v>169</v>
      </c>
    </row>
    <row r="14" spans="1:26" ht="27.6" x14ac:dyDescent="0.3">
      <c r="A14" s="2">
        <v>10</v>
      </c>
      <c r="B14" s="2" t="s">
        <v>170</v>
      </c>
      <c r="C14" s="2" t="s">
        <v>21</v>
      </c>
      <c r="D14" s="2" t="s">
        <v>171</v>
      </c>
      <c r="E14" s="2" t="s">
        <v>172</v>
      </c>
      <c r="F14" s="2" t="s">
        <v>166</v>
      </c>
      <c r="G14" s="2" t="s">
        <v>75</v>
      </c>
      <c r="H14" s="2" t="s">
        <v>173</v>
      </c>
      <c r="I14" s="2" t="s">
        <v>167</v>
      </c>
      <c r="J14" s="2" t="s">
        <v>174</v>
      </c>
      <c r="K14" s="2" t="s">
        <v>117</v>
      </c>
      <c r="L14" s="2" t="s">
        <v>129</v>
      </c>
      <c r="M14" s="2" t="s">
        <v>77</v>
      </c>
      <c r="N14" s="2" t="s">
        <v>141</v>
      </c>
      <c r="O14" s="3">
        <v>46387</v>
      </c>
      <c r="P14" s="3">
        <v>46568</v>
      </c>
      <c r="Q14" s="3">
        <v>46387</v>
      </c>
      <c r="R14" s="2" t="s">
        <v>168</v>
      </c>
      <c r="S14" s="4">
        <f t="shared" ca="1" si="0"/>
        <v>137</v>
      </c>
      <c r="T14" s="2" t="str">
        <f t="shared" ca="1" si="1"/>
        <v>경고</v>
      </c>
      <c r="U14" s="2" t="str">
        <f>IFERROR(VLOOKUP($B14,'02_위험도평가'!$A$5:$M$200,13,FALSE),"평가필요")</f>
        <v>High</v>
      </c>
      <c r="V14" s="2" t="s">
        <v>48</v>
      </c>
      <c r="W14" s="3">
        <v>46356</v>
      </c>
      <c r="X14" s="2" t="s">
        <v>148</v>
      </c>
      <c r="Y14" s="2" t="s">
        <v>132</v>
      </c>
      <c r="Z14" s="2" t="s">
        <v>175</v>
      </c>
    </row>
    <row r="15" spans="1:26" ht="27.6" x14ac:dyDescent="0.3">
      <c r="A15" s="2">
        <v>11</v>
      </c>
      <c r="B15" s="2" t="s">
        <v>176</v>
      </c>
      <c r="C15" s="2" t="s">
        <v>21</v>
      </c>
      <c r="D15" s="2" t="s">
        <v>177</v>
      </c>
      <c r="E15" s="2" t="s">
        <v>178</v>
      </c>
      <c r="F15" s="2" t="s">
        <v>179</v>
      </c>
      <c r="G15" s="2" t="s">
        <v>180</v>
      </c>
      <c r="H15" s="2" t="s">
        <v>181</v>
      </c>
      <c r="I15" s="2" t="s">
        <v>182</v>
      </c>
      <c r="J15" s="2" t="s">
        <v>183</v>
      </c>
      <c r="K15" s="2" t="s">
        <v>117</v>
      </c>
      <c r="L15" s="2" t="s">
        <v>129</v>
      </c>
      <c r="M15" s="2" t="s">
        <v>72</v>
      </c>
      <c r="N15" s="2" t="s">
        <v>184</v>
      </c>
      <c r="O15" s="3">
        <v>46203</v>
      </c>
      <c r="P15" s="3">
        <v>46203</v>
      </c>
      <c r="Q15" s="3">
        <v>46387</v>
      </c>
      <c r="R15" s="2" t="s">
        <v>185</v>
      </c>
      <c r="S15" s="4">
        <f t="shared" ca="1" si="0"/>
        <v>-47</v>
      </c>
      <c r="T15" s="2" t="str">
        <f t="shared" ca="1" si="1"/>
        <v>위험</v>
      </c>
      <c r="U15" s="2" t="str">
        <f>IFERROR(VLOOKUP($B15,'02_위험도평가'!$A$5:$M$200,13,FALSE),"평가필요")</f>
        <v>High</v>
      </c>
      <c r="V15" s="2" t="s">
        <v>48</v>
      </c>
      <c r="W15" s="3">
        <v>46326</v>
      </c>
      <c r="X15" s="2" t="s">
        <v>122</v>
      </c>
      <c r="Y15" s="2" t="s">
        <v>123</v>
      </c>
      <c r="Z15" s="2" t="s">
        <v>186</v>
      </c>
    </row>
    <row r="16" spans="1:26" ht="27.6" x14ac:dyDescent="0.3">
      <c r="A16" s="2">
        <v>12</v>
      </c>
      <c r="B16" s="2" t="s">
        <v>187</v>
      </c>
      <c r="C16" s="2" t="s">
        <v>21</v>
      </c>
      <c r="D16" s="2" t="s">
        <v>188</v>
      </c>
      <c r="E16" s="2" t="s">
        <v>189</v>
      </c>
      <c r="F16" s="2" t="s">
        <v>179</v>
      </c>
      <c r="G16" s="2" t="s">
        <v>190</v>
      </c>
      <c r="H16" s="2" t="s">
        <v>191</v>
      </c>
      <c r="I16" s="2" t="s">
        <v>192</v>
      </c>
      <c r="J16" s="2" t="s">
        <v>193</v>
      </c>
      <c r="K16" s="2" t="s">
        <v>117</v>
      </c>
      <c r="L16" s="2" t="s">
        <v>194</v>
      </c>
      <c r="M16" s="2" t="s">
        <v>72</v>
      </c>
      <c r="N16" s="2" t="s">
        <v>184</v>
      </c>
      <c r="O16" s="3">
        <v>46203</v>
      </c>
      <c r="P16" s="3">
        <v>46203</v>
      </c>
      <c r="Q16" s="3">
        <v>46387</v>
      </c>
      <c r="R16" s="2" t="s">
        <v>185</v>
      </c>
      <c r="S16" s="4">
        <f t="shared" ca="1" si="0"/>
        <v>-47</v>
      </c>
      <c r="T16" s="2" t="str">
        <f t="shared" ca="1" si="1"/>
        <v>위험</v>
      </c>
      <c r="U16" s="2" t="str">
        <f>IFERROR(VLOOKUP($B16,'02_위험도평가'!$A$5:$M$200,13,FALSE),"평가필요")</f>
        <v>High</v>
      </c>
      <c r="V16" s="2" t="s">
        <v>48</v>
      </c>
      <c r="W16" s="3">
        <v>46326</v>
      </c>
      <c r="X16" s="2" t="s">
        <v>122</v>
      </c>
      <c r="Y16" s="2" t="s">
        <v>123</v>
      </c>
      <c r="Z16" s="2" t="s">
        <v>195</v>
      </c>
    </row>
    <row r="17" spans="1:26" x14ac:dyDescent="0.3">
      <c r="A17" s="2">
        <v>13</v>
      </c>
      <c r="B17" s="2" t="s">
        <v>196</v>
      </c>
      <c r="C17" s="2" t="s">
        <v>21</v>
      </c>
      <c r="D17" s="2" t="s">
        <v>197</v>
      </c>
      <c r="E17" s="2" t="s">
        <v>198</v>
      </c>
      <c r="F17" s="2" t="s">
        <v>179</v>
      </c>
      <c r="G17" s="2" t="s">
        <v>199</v>
      </c>
      <c r="H17" s="2" t="s">
        <v>200</v>
      </c>
      <c r="I17" s="2" t="s">
        <v>201</v>
      </c>
      <c r="J17" s="2" t="s">
        <v>202</v>
      </c>
      <c r="K17" s="2" t="s">
        <v>117</v>
      </c>
      <c r="L17" s="2" t="s">
        <v>194</v>
      </c>
      <c r="M17" s="2" t="s">
        <v>72</v>
      </c>
      <c r="N17" s="2" t="s">
        <v>199</v>
      </c>
      <c r="O17" s="3">
        <v>46477</v>
      </c>
      <c r="P17" s="3">
        <v>46752</v>
      </c>
      <c r="Q17" s="3">
        <v>46387</v>
      </c>
      <c r="R17" s="2" t="s">
        <v>203</v>
      </c>
      <c r="S17" s="4">
        <f t="shared" ca="1" si="0"/>
        <v>227</v>
      </c>
      <c r="T17" s="2" t="str">
        <f t="shared" ca="1" si="1"/>
        <v>주의</v>
      </c>
      <c r="U17" s="2" t="str">
        <f>IFERROR(VLOOKUP($B17,'02_위험도평가'!$A$5:$M$200,13,FALSE),"평가필요")</f>
        <v>High</v>
      </c>
      <c r="V17" s="2" t="s">
        <v>48</v>
      </c>
      <c r="W17" s="3">
        <v>46387</v>
      </c>
      <c r="X17" s="2" t="s">
        <v>148</v>
      </c>
      <c r="Y17" s="2" t="s">
        <v>132</v>
      </c>
      <c r="Z17" s="2" t="s">
        <v>204</v>
      </c>
    </row>
    <row r="18" spans="1:26" ht="27.6" x14ac:dyDescent="0.3">
      <c r="A18" s="2">
        <v>14</v>
      </c>
      <c r="B18" s="2" t="s">
        <v>205</v>
      </c>
      <c r="C18" s="2" t="s">
        <v>25</v>
      </c>
      <c r="D18" s="2" t="s">
        <v>206</v>
      </c>
      <c r="E18" s="2" t="s">
        <v>207</v>
      </c>
      <c r="F18" s="2" t="s">
        <v>208</v>
      </c>
      <c r="G18" s="2" t="s">
        <v>209</v>
      </c>
      <c r="H18" s="2" t="s">
        <v>210</v>
      </c>
      <c r="I18" s="2" t="s">
        <v>211</v>
      </c>
      <c r="J18" s="2" t="s">
        <v>212</v>
      </c>
      <c r="K18" s="2" t="s">
        <v>117</v>
      </c>
      <c r="L18" s="2" t="s">
        <v>146</v>
      </c>
      <c r="M18" s="2" t="s">
        <v>213</v>
      </c>
      <c r="N18" s="2" t="s">
        <v>214</v>
      </c>
      <c r="O18" s="3">
        <v>46507</v>
      </c>
      <c r="P18" s="3">
        <v>46507</v>
      </c>
      <c r="Q18" s="3">
        <v>46507</v>
      </c>
      <c r="R18" s="2" t="s">
        <v>215</v>
      </c>
      <c r="S18" s="4">
        <f t="shared" ca="1" si="0"/>
        <v>257</v>
      </c>
      <c r="T18" s="2" t="str">
        <f t="shared" ca="1" si="1"/>
        <v>주의</v>
      </c>
      <c r="U18" s="2" t="str">
        <f>IFERROR(VLOOKUP($B18,'02_위험도평가'!$A$5:$M$200,13,FALSE),"평가필요")</f>
        <v>High</v>
      </c>
      <c r="V18" s="2" t="s">
        <v>216</v>
      </c>
      <c r="W18" s="3">
        <v>46387</v>
      </c>
      <c r="X18" s="2" t="s">
        <v>122</v>
      </c>
      <c r="Y18" s="2" t="s">
        <v>123</v>
      </c>
      <c r="Z18" s="2" t="s">
        <v>217</v>
      </c>
    </row>
    <row r="19" spans="1:26" ht="27.6" x14ac:dyDescent="0.3">
      <c r="A19" s="2">
        <v>15</v>
      </c>
      <c r="B19" s="2" t="s">
        <v>218</v>
      </c>
      <c r="C19" s="2" t="s">
        <v>25</v>
      </c>
      <c r="D19" s="2" t="s">
        <v>219</v>
      </c>
      <c r="E19" s="2" t="s">
        <v>220</v>
      </c>
      <c r="F19" s="2" t="s">
        <v>208</v>
      </c>
      <c r="G19" s="2" t="s">
        <v>209</v>
      </c>
      <c r="H19" s="2" t="s">
        <v>210</v>
      </c>
      <c r="I19" s="2" t="s">
        <v>211</v>
      </c>
      <c r="J19" s="2" t="s">
        <v>221</v>
      </c>
      <c r="K19" s="2" t="s">
        <v>117</v>
      </c>
      <c r="L19" s="2" t="s">
        <v>146</v>
      </c>
      <c r="M19" s="2" t="s">
        <v>213</v>
      </c>
      <c r="N19" s="2" t="s">
        <v>214</v>
      </c>
      <c r="O19" s="3">
        <v>46507</v>
      </c>
      <c r="P19" s="3">
        <v>46507</v>
      </c>
      <c r="Q19" s="3">
        <v>46507</v>
      </c>
      <c r="R19" s="2" t="s">
        <v>215</v>
      </c>
      <c r="S19" s="4">
        <f t="shared" ca="1" si="0"/>
        <v>257</v>
      </c>
      <c r="T19" s="2" t="str">
        <f t="shared" ca="1" si="1"/>
        <v>주의</v>
      </c>
      <c r="U19" s="2" t="str">
        <f>IFERROR(VLOOKUP($B19,'02_위험도평가'!$A$5:$M$200,13,FALSE),"평가필요")</f>
        <v>High</v>
      </c>
      <c r="V19" s="2" t="s">
        <v>216</v>
      </c>
      <c r="W19" s="3">
        <v>46387</v>
      </c>
      <c r="X19" s="2" t="s">
        <v>122</v>
      </c>
      <c r="Y19" s="2" t="s">
        <v>123</v>
      </c>
      <c r="Z19" s="2" t="s">
        <v>222</v>
      </c>
    </row>
    <row r="20" spans="1:26" ht="27.6" x14ac:dyDescent="0.3">
      <c r="A20" s="2">
        <v>16</v>
      </c>
      <c r="B20" s="2" t="s">
        <v>223</v>
      </c>
      <c r="C20" s="2" t="s">
        <v>25</v>
      </c>
      <c r="D20" s="2" t="s">
        <v>224</v>
      </c>
      <c r="E20" s="2" t="s">
        <v>198</v>
      </c>
      <c r="F20" s="2" t="s">
        <v>225</v>
      </c>
      <c r="G20" s="2" t="s">
        <v>226</v>
      </c>
      <c r="H20" s="2" t="s">
        <v>227</v>
      </c>
      <c r="I20" s="2" t="s">
        <v>228</v>
      </c>
      <c r="J20" s="2" t="s">
        <v>229</v>
      </c>
      <c r="K20" s="2" t="s">
        <v>117</v>
      </c>
      <c r="L20" s="2" t="s">
        <v>194</v>
      </c>
      <c r="M20" s="2" t="s">
        <v>72</v>
      </c>
      <c r="N20" s="2" t="s">
        <v>214</v>
      </c>
      <c r="O20" s="3">
        <v>46234</v>
      </c>
      <c r="P20" s="3">
        <v>46387</v>
      </c>
      <c r="Q20" s="3">
        <v>46387</v>
      </c>
      <c r="R20" s="2" t="s">
        <v>230</v>
      </c>
      <c r="S20" s="4">
        <f t="shared" ca="1" si="0"/>
        <v>-16</v>
      </c>
      <c r="T20" s="2" t="str">
        <f t="shared" ca="1" si="1"/>
        <v>위험</v>
      </c>
      <c r="U20" s="2" t="str">
        <f>IFERROR(VLOOKUP($B20,'02_위험도평가'!$A$5:$M$200,13,FALSE),"평가필요")</f>
        <v>High</v>
      </c>
      <c r="V20" s="2" t="s">
        <v>48</v>
      </c>
      <c r="W20" s="3">
        <v>46265</v>
      </c>
      <c r="X20" s="2" t="s">
        <v>8</v>
      </c>
      <c r="Y20" s="2" t="s">
        <v>132</v>
      </c>
      <c r="Z20" s="2" t="s">
        <v>231</v>
      </c>
    </row>
    <row r="21" spans="1:26" x14ac:dyDescent="0.3">
      <c r="A21" s="2">
        <v>17</v>
      </c>
      <c r="B21" s="2" t="s">
        <v>232</v>
      </c>
      <c r="C21" s="2" t="s">
        <v>27</v>
      </c>
      <c r="D21" s="2" t="s">
        <v>233</v>
      </c>
      <c r="E21" s="2" t="s">
        <v>234</v>
      </c>
      <c r="F21" s="2" t="s">
        <v>235</v>
      </c>
      <c r="G21" s="2" t="s">
        <v>236</v>
      </c>
      <c r="H21" s="2" t="s">
        <v>237</v>
      </c>
      <c r="I21" s="2" t="s">
        <v>115</v>
      </c>
      <c r="J21" s="2" t="s">
        <v>238</v>
      </c>
      <c r="K21" s="2" t="s">
        <v>117</v>
      </c>
      <c r="L21" s="2" t="s">
        <v>129</v>
      </c>
      <c r="M21" s="2" t="s">
        <v>239</v>
      </c>
      <c r="N21" s="2" t="s">
        <v>120</v>
      </c>
      <c r="O21" s="3">
        <v>46295</v>
      </c>
      <c r="P21" s="3">
        <v>46387</v>
      </c>
      <c r="Q21" s="3">
        <v>46387</v>
      </c>
      <c r="R21" s="2" t="s">
        <v>240</v>
      </c>
      <c r="S21" s="4">
        <f t="shared" ca="1" si="0"/>
        <v>45</v>
      </c>
      <c r="T21" s="2" t="str">
        <f t="shared" ca="1" si="1"/>
        <v>위험</v>
      </c>
      <c r="U21" s="2" t="str">
        <f>IFERROR(VLOOKUP($B21,'02_위험도평가'!$A$5:$M$200,13,FALSE),"평가필요")</f>
        <v>High</v>
      </c>
      <c r="V21" s="2" t="s">
        <v>48</v>
      </c>
      <c r="W21" s="3">
        <v>46280</v>
      </c>
      <c r="X21" s="2" t="s">
        <v>122</v>
      </c>
      <c r="Y21" s="2" t="s">
        <v>123</v>
      </c>
      <c r="Z21" s="2" t="s">
        <v>241</v>
      </c>
    </row>
    <row r="22" spans="1:26" x14ac:dyDescent="0.3">
      <c r="A22" s="2">
        <v>18</v>
      </c>
      <c r="B22" s="2" t="s">
        <v>242</v>
      </c>
      <c r="C22" s="2" t="s">
        <v>27</v>
      </c>
      <c r="D22" s="2" t="s">
        <v>243</v>
      </c>
      <c r="E22" s="2" t="s">
        <v>244</v>
      </c>
      <c r="F22" s="2" t="s">
        <v>235</v>
      </c>
      <c r="G22" s="2" t="s">
        <v>245</v>
      </c>
      <c r="H22" s="2" t="s">
        <v>246</v>
      </c>
      <c r="I22" s="2" t="s">
        <v>115</v>
      </c>
      <c r="J22" s="2" t="s">
        <v>247</v>
      </c>
      <c r="K22" s="2" t="s">
        <v>117</v>
      </c>
      <c r="L22" s="2" t="s">
        <v>129</v>
      </c>
      <c r="M22" s="2" t="s">
        <v>239</v>
      </c>
      <c r="N22" s="2" t="s">
        <v>120</v>
      </c>
      <c r="O22" s="3">
        <v>46356</v>
      </c>
      <c r="P22" s="3">
        <v>46446</v>
      </c>
      <c r="Q22" s="3">
        <v>46387</v>
      </c>
      <c r="R22" s="2" t="s">
        <v>240</v>
      </c>
      <c r="S22" s="4">
        <f t="shared" ca="1" si="0"/>
        <v>106</v>
      </c>
      <c r="T22" s="2" t="str">
        <f t="shared" ca="1" si="1"/>
        <v>경고</v>
      </c>
      <c r="U22" s="2" t="str">
        <f>IFERROR(VLOOKUP($B22,'02_위험도평가'!$A$5:$M$200,13,FALSE),"평가필요")</f>
        <v>High</v>
      </c>
      <c r="V22" s="2" t="s">
        <v>48</v>
      </c>
      <c r="W22" s="3">
        <v>46326</v>
      </c>
      <c r="X22" s="2" t="s">
        <v>148</v>
      </c>
      <c r="Y22" s="2" t="s">
        <v>132</v>
      </c>
      <c r="Z22" s="2" t="s">
        <v>248</v>
      </c>
    </row>
    <row r="23" spans="1:26" x14ac:dyDescent="0.3">
      <c r="A23" s="2">
        <v>19</v>
      </c>
      <c r="B23" s="2" t="s">
        <v>249</v>
      </c>
      <c r="C23" s="2" t="s">
        <v>31</v>
      </c>
      <c r="D23" s="2" t="s">
        <v>250</v>
      </c>
      <c r="E23" s="2" t="s">
        <v>251</v>
      </c>
      <c r="F23" s="2" t="s">
        <v>235</v>
      </c>
      <c r="G23" s="2" t="s">
        <v>252</v>
      </c>
      <c r="H23" s="2" t="s">
        <v>253</v>
      </c>
      <c r="I23" s="2" t="s">
        <v>254</v>
      </c>
      <c r="J23" s="2" t="s">
        <v>255</v>
      </c>
      <c r="K23" s="2" t="s">
        <v>117</v>
      </c>
      <c r="L23" s="2" t="s">
        <v>129</v>
      </c>
      <c r="M23" s="2" t="s">
        <v>256</v>
      </c>
      <c r="N23" s="2" t="s">
        <v>257</v>
      </c>
      <c r="O23" s="3">
        <v>46265</v>
      </c>
      <c r="P23" s="3">
        <v>46387</v>
      </c>
      <c r="Q23" s="3">
        <v>46387</v>
      </c>
      <c r="R23" s="2" t="s">
        <v>258</v>
      </c>
      <c r="S23" s="4">
        <f t="shared" ca="1" si="0"/>
        <v>15</v>
      </c>
      <c r="T23" s="2" t="str">
        <f t="shared" ca="1" si="1"/>
        <v>위험</v>
      </c>
      <c r="U23" s="2" t="str">
        <f>IFERROR(VLOOKUP($B23,'02_위험도평가'!$A$5:$M$200,13,FALSE),"평가필요")</f>
        <v>High</v>
      </c>
      <c r="V23" s="2" t="s">
        <v>48</v>
      </c>
      <c r="W23" s="3">
        <v>46295</v>
      </c>
      <c r="X23" s="2" t="s">
        <v>8</v>
      </c>
      <c r="Y23" s="2" t="s">
        <v>123</v>
      </c>
      <c r="Z23" s="2" t="s">
        <v>259</v>
      </c>
    </row>
    <row r="24" spans="1:26" x14ac:dyDescent="0.3">
      <c r="A24" s="2">
        <v>20</v>
      </c>
      <c r="B24" s="2" t="s">
        <v>260</v>
      </c>
      <c r="C24" s="2" t="s">
        <v>31</v>
      </c>
      <c r="D24" s="2" t="s">
        <v>261</v>
      </c>
      <c r="E24" s="2" t="s">
        <v>262</v>
      </c>
      <c r="F24" s="2" t="s">
        <v>235</v>
      </c>
      <c r="G24" s="2" t="s">
        <v>263</v>
      </c>
      <c r="H24" s="2" t="s">
        <v>264</v>
      </c>
      <c r="I24" s="2" t="s">
        <v>115</v>
      </c>
      <c r="J24" s="2" t="s">
        <v>265</v>
      </c>
      <c r="K24" s="2" t="s">
        <v>117</v>
      </c>
      <c r="L24" s="2" t="s">
        <v>146</v>
      </c>
      <c r="M24" s="2" t="s">
        <v>266</v>
      </c>
      <c r="N24" s="2" t="s">
        <v>120</v>
      </c>
      <c r="O24" s="3">
        <v>46326</v>
      </c>
      <c r="P24" s="3">
        <v>46477</v>
      </c>
      <c r="Q24" s="3">
        <v>46387</v>
      </c>
      <c r="R24" s="2" t="s">
        <v>240</v>
      </c>
      <c r="S24" s="4">
        <f t="shared" ca="1" si="0"/>
        <v>76</v>
      </c>
      <c r="T24" s="2" t="str">
        <f t="shared" ca="1" si="1"/>
        <v>위험</v>
      </c>
      <c r="U24" s="2" t="str">
        <f>IFERROR(VLOOKUP($B24,'02_위험도평가'!$A$5:$M$200,13,FALSE),"평가필요")</f>
        <v>High</v>
      </c>
      <c r="V24" s="2" t="s">
        <v>48</v>
      </c>
      <c r="W24" s="3">
        <v>46310</v>
      </c>
      <c r="X24" s="2" t="s">
        <v>122</v>
      </c>
      <c r="Y24" s="2" t="s">
        <v>132</v>
      </c>
      <c r="Z24" s="2" t="s">
        <v>267</v>
      </c>
    </row>
    <row r="25" spans="1:26" x14ac:dyDescent="0.3">
      <c r="A25" s="2">
        <v>21</v>
      </c>
      <c r="B25" s="2" t="s">
        <v>268</v>
      </c>
      <c r="C25" s="2" t="s">
        <v>24</v>
      </c>
      <c r="D25" s="2" t="s">
        <v>269</v>
      </c>
      <c r="E25" s="2" t="s">
        <v>270</v>
      </c>
      <c r="F25" s="2" t="s">
        <v>271</v>
      </c>
      <c r="G25" s="2" t="s">
        <v>272</v>
      </c>
      <c r="H25" s="2" t="s">
        <v>237</v>
      </c>
      <c r="I25" s="2" t="s">
        <v>115</v>
      </c>
      <c r="J25" s="2" t="s">
        <v>273</v>
      </c>
      <c r="K25" s="2" t="s">
        <v>117</v>
      </c>
      <c r="L25" s="2" t="s">
        <v>146</v>
      </c>
      <c r="M25" s="2" t="s">
        <v>274</v>
      </c>
      <c r="N25" s="2" t="s">
        <v>275</v>
      </c>
      <c r="O25" s="3">
        <v>46387</v>
      </c>
      <c r="P25" s="3">
        <v>46568</v>
      </c>
      <c r="Q25" s="3">
        <v>46387</v>
      </c>
      <c r="R25" s="2" t="s">
        <v>276</v>
      </c>
      <c r="S25" s="4">
        <f t="shared" ca="1" si="0"/>
        <v>137</v>
      </c>
      <c r="T25" s="2" t="str">
        <f t="shared" ca="1" si="1"/>
        <v>경고</v>
      </c>
      <c r="U25" s="2" t="str">
        <f>IFERROR(VLOOKUP($B25,'02_위험도평가'!$A$5:$M$200,13,FALSE),"평가필요")</f>
        <v>High</v>
      </c>
      <c r="V25" s="2" t="s">
        <v>48</v>
      </c>
      <c r="W25" s="3">
        <v>46356</v>
      </c>
      <c r="X25" s="2" t="s">
        <v>148</v>
      </c>
      <c r="Y25" s="2" t="s">
        <v>123</v>
      </c>
      <c r="Z25" s="2" t="s">
        <v>277</v>
      </c>
    </row>
    <row r="26" spans="1:26" x14ac:dyDescent="0.3">
      <c r="A26" s="2">
        <v>22</v>
      </c>
      <c r="B26" s="2" t="s">
        <v>278</v>
      </c>
      <c r="C26" s="2" t="s">
        <v>22</v>
      </c>
      <c r="D26" s="2" t="s">
        <v>279</v>
      </c>
      <c r="E26" s="2" t="s">
        <v>280</v>
      </c>
      <c r="F26" s="2" t="s">
        <v>281</v>
      </c>
      <c r="G26" s="2" t="s">
        <v>282</v>
      </c>
      <c r="H26" s="2" t="s">
        <v>283</v>
      </c>
      <c r="I26" s="2" t="s">
        <v>115</v>
      </c>
      <c r="J26" s="2" t="s">
        <v>284</v>
      </c>
      <c r="K26" s="2" t="s">
        <v>117</v>
      </c>
      <c r="L26" s="2" t="s">
        <v>129</v>
      </c>
      <c r="M26" s="2" t="s">
        <v>285</v>
      </c>
      <c r="N26" s="2" t="s">
        <v>120</v>
      </c>
      <c r="O26" s="3">
        <v>46295</v>
      </c>
      <c r="P26" s="3">
        <v>46477</v>
      </c>
      <c r="Q26" s="3">
        <v>46387</v>
      </c>
      <c r="R26" s="2" t="s">
        <v>240</v>
      </c>
      <c r="S26" s="4">
        <f t="shared" ca="1" si="0"/>
        <v>45</v>
      </c>
      <c r="T26" s="2" t="str">
        <f t="shared" ca="1" si="1"/>
        <v>위험</v>
      </c>
      <c r="U26" s="2" t="str">
        <f>IFERROR(VLOOKUP($B26,'02_위험도평가'!$A$5:$M$200,13,FALSE),"평가필요")</f>
        <v>High</v>
      </c>
      <c r="V26" s="2" t="s">
        <v>48</v>
      </c>
      <c r="W26" s="3">
        <v>46295</v>
      </c>
      <c r="X26" s="2" t="s">
        <v>122</v>
      </c>
      <c r="Y26" s="2" t="s">
        <v>123</v>
      </c>
      <c r="Z26" s="2" t="s">
        <v>286</v>
      </c>
    </row>
    <row r="27" spans="1:26" x14ac:dyDescent="0.3">
      <c r="A27" s="2">
        <v>23</v>
      </c>
      <c r="B27" s="2" t="s">
        <v>44</v>
      </c>
      <c r="C27" s="2" t="s">
        <v>32</v>
      </c>
      <c r="D27" s="2" t="s">
        <v>45</v>
      </c>
      <c r="E27" s="2" t="s">
        <v>287</v>
      </c>
      <c r="F27" s="2" t="s">
        <v>288</v>
      </c>
      <c r="G27" s="2" t="s">
        <v>46</v>
      </c>
      <c r="H27" s="2" t="s">
        <v>47</v>
      </c>
      <c r="I27" s="2" t="s">
        <v>115</v>
      </c>
      <c r="J27" s="2" t="s">
        <v>289</v>
      </c>
      <c r="K27" s="2" t="s">
        <v>117</v>
      </c>
      <c r="L27" s="2" t="s">
        <v>129</v>
      </c>
      <c r="M27" s="2" t="s">
        <v>49</v>
      </c>
      <c r="N27" s="2" t="s">
        <v>120</v>
      </c>
      <c r="O27" s="3">
        <v>46234</v>
      </c>
      <c r="P27" s="3">
        <v>46387</v>
      </c>
      <c r="Q27" s="3">
        <v>46387</v>
      </c>
      <c r="R27" s="2" t="s">
        <v>240</v>
      </c>
      <c r="S27" s="4">
        <f t="shared" ca="1" si="0"/>
        <v>-16</v>
      </c>
      <c r="T27" s="2" t="str">
        <f t="shared" ca="1" si="1"/>
        <v>위험</v>
      </c>
      <c r="U27" s="2" t="str">
        <f>IFERROR(VLOOKUP($B27,'02_위험도평가'!$A$5:$M$200,13,FALSE),"평가필요")</f>
        <v>Critical</v>
      </c>
      <c r="V27" s="2" t="s">
        <v>48</v>
      </c>
      <c r="W27" s="3">
        <v>46265</v>
      </c>
      <c r="X27" s="2" t="s">
        <v>8</v>
      </c>
      <c r="Y27" s="2" t="s">
        <v>123</v>
      </c>
      <c r="Z27" s="2" t="s">
        <v>290</v>
      </c>
    </row>
    <row r="28" spans="1:26" x14ac:dyDescent="0.3">
      <c r="A28" s="2">
        <v>24</v>
      </c>
      <c r="B28" s="2" t="s">
        <v>50</v>
      </c>
      <c r="C28" s="2" t="s">
        <v>32</v>
      </c>
      <c r="D28" s="2" t="s">
        <v>51</v>
      </c>
      <c r="E28" s="2" t="s">
        <v>291</v>
      </c>
      <c r="F28" s="2" t="s">
        <v>288</v>
      </c>
      <c r="G28" s="2" t="s">
        <v>52</v>
      </c>
      <c r="H28" s="2" t="s">
        <v>53</v>
      </c>
      <c r="I28" s="2" t="s">
        <v>115</v>
      </c>
      <c r="J28" s="2" t="s">
        <v>292</v>
      </c>
      <c r="K28" s="2" t="s">
        <v>117</v>
      </c>
      <c r="L28" s="2" t="s">
        <v>146</v>
      </c>
      <c r="M28" s="2" t="s">
        <v>49</v>
      </c>
      <c r="N28" s="2" t="s">
        <v>120</v>
      </c>
      <c r="O28" s="3">
        <v>46265</v>
      </c>
      <c r="P28" s="3">
        <v>46418</v>
      </c>
      <c r="Q28" s="3">
        <v>46387</v>
      </c>
      <c r="R28" s="2" t="s">
        <v>240</v>
      </c>
      <c r="S28" s="4">
        <f t="shared" ca="1" si="0"/>
        <v>15</v>
      </c>
      <c r="T28" s="2" t="str">
        <f t="shared" ca="1" si="1"/>
        <v>위험</v>
      </c>
      <c r="U28" s="2" t="str">
        <f>IFERROR(VLOOKUP($B28,'02_위험도평가'!$A$5:$M$200,13,FALSE),"평가필요")</f>
        <v>Critical</v>
      </c>
      <c r="V28" s="2" t="s">
        <v>48</v>
      </c>
      <c r="W28" s="3">
        <v>46295</v>
      </c>
      <c r="X28" s="2" t="s">
        <v>122</v>
      </c>
      <c r="Y28" s="2" t="s">
        <v>132</v>
      </c>
      <c r="Z28" s="2" t="s">
        <v>293</v>
      </c>
    </row>
    <row r="29" spans="1:26" x14ac:dyDescent="0.3">
      <c r="A29" s="2">
        <v>25</v>
      </c>
      <c r="B29" s="2" t="s">
        <v>54</v>
      </c>
      <c r="C29" s="2" t="s">
        <v>32</v>
      </c>
      <c r="D29" s="2" t="s">
        <v>55</v>
      </c>
      <c r="E29" s="2" t="s">
        <v>294</v>
      </c>
      <c r="F29" s="2" t="s">
        <v>288</v>
      </c>
      <c r="G29" s="2" t="s">
        <v>56</v>
      </c>
      <c r="H29" s="2" t="s">
        <v>57</v>
      </c>
      <c r="I29" s="2" t="s">
        <v>115</v>
      </c>
      <c r="J29" s="2" t="s">
        <v>295</v>
      </c>
      <c r="K29" s="2" t="s">
        <v>117</v>
      </c>
      <c r="L29" s="2" t="s">
        <v>129</v>
      </c>
      <c r="M29" s="2" t="s">
        <v>49</v>
      </c>
      <c r="N29" s="2" t="s">
        <v>130</v>
      </c>
      <c r="O29" s="3">
        <v>46203</v>
      </c>
      <c r="P29" s="3">
        <v>46387</v>
      </c>
      <c r="Q29" s="3">
        <v>46387</v>
      </c>
      <c r="R29" s="2" t="s">
        <v>136</v>
      </c>
      <c r="S29" s="4">
        <f t="shared" ca="1" si="0"/>
        <v>-47</v>
      </c>
      <c r="T29" s="2" t="str">
        <f t="shared" ca="1" si="1"/>
        <v>위험</v>
      </c>
      <c r="U29" s="2" t="str">
        <f>IFERROR(VLOOKUP($B29,'02_위험도평가'!$A$5:$M$200,13,FALSE),"평가필요")</f>
        <v>Critical</v>
      </c>
      <c r="V29" s="2" t="s">
        <v>48</v>
      </c>
      <c r="W29" s="3">
        <v>46234</v>
      </c>
      <c r="X29" s="2" t="s">
        <v>8</v>
      </c>
      <c r="Y29" s="2" t="s">
        <v>123</v>
      </c>
      <c r="Z29" s="2" t="s">
        <v>296</v>
      </c>
    </row>
    <row r="30" spans="1:26" x14ac:dyDescent="0.3">
      <c r="A30" s="2">
        <v>26</v>
      </c>
      <c r="B30" s="2" t="s">
        <v>297</v>
      </c>
      <c r="C30" s="2" t="s">
        <v>30</v>
      </c>
      <c r="D30" s="2" t="s">
        <v>298</v>
      </c>
      <c r="E30" s="2" t="s">
        <v>299</v>
      </c>
      <c r="F30" s="2" t="s">
        <v>281</v>
      </c>
      <c r="G30" s="2" t="s">
        <v>300</v>
      </c>
      <c r="H30" s="2" t="s">
        <v>237</v>
      </c>
      <c r="I30" s="2" t="s">
        <v>115</v>
      </c>
      <c r="J30" s="2" t="s">
        <v>301</v>
      </c>
      <c r="K30" s="2" t="s">
        <v>117</v>
      </c>
      <c r="L30" s="2" t="s">
        <v>129</v>
      </c>
      <c r="M30" s="2" t="s">
        <v>302</v>
      </c>
      <c r="N30" s="2" t="s">
        <v>120</v>
      </c>
      <c r="O30" s="3">
        <v>46326</v>
      </c>
      <c r="P30" s="3">
        <v>46477</v>
      </c>
      <c r="Q30" s="3">
        <v>46387</v>
      </c>
      <c r="R30" s="2" t="s">
        <v>240</v>
      </c>
      <c r="S30" s="4">
        <f t="shared" ca="1" si="0"/>
        <v>76</v>
      </c>
      <c r="T30" s="2" t="str">
        <f t="shared" ca="1" si="1"/>
        <v>위험</v>
      </c>
      <c r="U30" s="2" t="str">
        <f>IFERROR(VLOOKUP($B30,'02_위험도평가'!$A$5:$M$200,13,FALSE),"평가필요")</f>
        <v>High</v>
      </c>
      <c r="V30" s="2" t="s">
        <v>48</v>
      </c>
      <c r="W30" s="3">
        <v>46326</v>
      </c>
      <c r="X30" s="2" t="s">
        <v>148</v>
      </c>
      <c r="Y30" s="2" t="s">
        <v>132</v>
      </c>
      <c r="Z30" s="2" t="s">
        <v>303</v>
      </c>
    </row>
    <row r="31" spans="1:26" x14ac:dyDescent="0.3">
      <c r="A31" s="2">
        <v>27</v>
      </c>
      <c r="B31" s="2" t="s">
        <v>304</v>
      </c>
      <c r="C31" s="2" t="s">
        <v>30</v>
      </c>
      <c r="D31" s="2" t="s">
        <v>305</v>
      </c>
      <c r="E31" s="2" t="s">
        <v>306</v>
      </c>
      <c r="F31" s="2" t="s">
        <v>281</v>
      </c>
      <c r="G31" s="2" t="s">
        <v>307</v>
      </c>
      <c r="H31" s="2" t="s">
        <v>88</v>
      </c>
      <c r="I31" s="2" t="s">
        <v>308</v>
      </c>
      <c r="J31" s="2" t="s">
        <v>309</v>
      </c>
      <c r="K31" s="2" t="s">
        <v>117</v>
      </c>
      <c r="L31" s="2" t="s">
        <v>146</v>
      </c>
      <c r="M31" s="2" t="s">
        <v>302</v>
      </c>
      <c r="N31" s="2" t="s">
        <v>120</v>
      </c>
      <c r="O31" s="3">
        <v>46295</v>
      </c>
      <c r="P31" s="3">
        <v>46418</v>
      </c>
      <c r="Q31" s="3">
        <v>46387</v>
      </c>
      <c r="R31" s="2" t="s">
        <v>240</v>
      </c>
      <c r="S31" s="4">
        <f t="shared" ca="1" si="0"/>
        <v>45</v>
      </c>
      <c r="T31" s="2" t="str">
        <f t="shared" ca="1" si="1"/>
        <v>위험</v>
      </c>
      <c r="U31" s="2" t="str">
        <f>IFERROR(VLOOKUP($B31,'02_위험도평가'!$A$5:$M$200,13,FALSE),"평가필요")</f>
        <v>High</v>
      </c>
      <c r="V31" s="2" t="s">
        <v>48</v>
      </c>
      <c r="W31" s="3">
        <v>46326</v>
      </c>
      <c r="X31" s="2" t="s">
        <v>122</v>
      </c>
      <c r="Y31" s="2" t="s">
        <v>132</v>
      </c>
      <c r="Z31" s="2" t="s">
        <v>310</v>
      </c>
    </row>
    <row r="32" spans="1:26" x14ac:dyDescent="0.3">
      <c r="A32" s="2">
        <v>28</v>
      </c>
      <c r="B32" s="2" t="s">
        <v>311</v>
      </c>
      <c r="C32" s="2" t="s">
        <v>26</v>
      </c>
      <c r="D32" s="2" t="s">
        <v>312</v>
      </c>
      <c r="E32" s="2" t="s">
        <v>313</v>
      </c>
      <c r="F32" s="2" t="s">
        <v>281</v>
      </c>
      <c r="G32" s="2" t="s">
        <v>312</v>
      </c>
      <c r="H32" s="2" t="s">
        <v>237</v>
      </c>
      <c r="I32" s="2" t="s">
        <v>314</v>
      </c>
      <c r="J32" s="2" t="s">
        <v>315</v>
      </c>
      <c r="K32" s="2" t="s">
        <v>117</v>
      </c>
      <c r="L32" s="2" t="s">
        <v>146</v>
      </c>
      <c r="M32" s="2" t="s">
        <v>316</v>
      </c>
      <c r="N32" s="2" t="s">
        <v>312</v>
      </c>
      <c r="O32" s="3">
        <v>46203</v>
      </c>
      <c r="P32" s="3">
        <v>46387</v>
      </c>
      <c r="Q32" s="3">
        <v>46387</v>
      </c>
      <c r="R32" s="2" t="s">
        <v>317</v>
      </c>
      <c r="S32" s="4">
        <f t="shared" ca="1" si="0"/>
        <v>-47</v>
      </c>
      <c r="T32" s="2" t="str">
        <f t="shared" ca="1" si="1"/>
        <v>위험</v>
      </c>
      <c r="U32" s="2" t="str">
        <f>IFERROR(VLOOKUP($B32,'02_위험도평가'!$A$5:$M$200,13,FALSE),"평가필요")</f>
        <v>High</v>
      </c>
      <c r="V32" s="2" t="s">
        <v>48</v>
      </c>
      <c r="W32" s="3">
        <v>46265</v>
      </c>
      <c r="X32" s="2" t="s">
        <v>122</v>
      </c>
      <c r="Y32" s="2" t="s">
        <v>123</v>
      </c>
      <c r="Z32" s="2" t="s">
        <v>318</v>
      </c>
    </row>
    <row r="33" spans="1:26" ht="27.6" x14ac:dyDescent="0.3">
      <c r="A33" s="2">
        <v>29</v>
      </c>
      <c r="B33" s="2" t="s">
        <v>319</v>
      </c>
      <c r="C33" s="2" t="s">
        <v>26</v>
      </c>
      <c r="D33" s="2" t="s">
        <v>320</v>
      </c>
      <c r="E33" s="2" t="s">
        <v>321</v>
      </c>
      <c r="F33" s="2" t="s">
        <v>281</v>
      </c>
      <c r="G33" s="2" t="s">
        <v>320</v>
      </c>
      <c r="H33" s="2" t="s">
        <v>322</v>
      </c>
      <c r="I33" s="2" t="s">
        <v>323</v>
      </c>
      <c r="J33" s="2" t="s">
        <v>324</v>
      </c>
      <c r="K33" s="2" t="s">
        <v>117</v>
      </c>
      <c r="L33" s="2" t="s">
        <v>146</v>
      </c>
      <c r="M33" s="2" t="s">
        <v>316</v>
      </c>
      <c r="N33" s="2" t="s">
        <v>320</v>
      </c>
      <c r="O33" s="3">
        <v>46234</v>
      </c>
      <c r="P33" s="3">
        <v>46387</v>
      </c>
      <c r="Q33" s="3">
        <v>46387</v>
      </c>
      <c r="R33" s="2" t="s">
        <v>325</v>
      </c>
      <c r="S33" s="4">
        <f t="shared" ca="1" si="0"/>
        <v>-16</v>
      </c>
      <c r="T33" s="2" t="str">
        <f t="shared" ca="1" si="1"/>
        <v>위험</v>
      </c>
      <c r="U33" s="2" t="str">
        <f>IFERROR(VLOOKUP($B33,'02_위험도평가'!$A$5:$M$200,13,FALSE),"평가필요")</f>
        <v>High</v>
      </c>
      <c r="V33" s="2" t="s">
        <v>48</v>
      </c>
      <c r="W33" s="3">
        <v>46265</v>
      </c>
      <c r="X33" s="2" t="s">
        <v>148</v>
      </c>
      <c r="Y33" s="2" t="s">
        <v>123</v>
      </c>
      <c r="Z33" s="2" t="s">
        <v>326</v>
      </c>
    </row>
    <row r="34" spans="1:26" x14ac:dyDescent="0.3">
      <c r="A34" s="2">
        <v>30</v>
      </c>
      <c r="B34" s="2" t="s">
        <v>327</v>
      </c>
      <c r="C34" s="2" t="s">
        <v>26</v>
      </c>
      <c r="D34" s="2" t="s">
        <v>328</v>
      </c>
      <c r="E34" s="2" t="s">
        <v>329</v>
      </c>
      <c r="F34" s="2" t="s">
        <v>281</v>
      </c>
      <c r="G34" s="2" t="s">
        <v>328</v>
      </c>
      <c r="H34" s="2" t="s">
        <v>330</v>
      </c>
      <c r="I34" s="2" t="s">
        <v>314</v>
      </c>
      <c r="J34" s="2" t="s">
        <v>331</v>
      </c>
      <c r="K34" s="2" t="s">
        <v>117</v>
      </c>
      <c r="L34" s="2" t="s">
        <v>146</v>
      </c>
      <c r="M34" s="2" t="s">
        <v>316</v>
      </c>
      <c r="N34" s="2" t="s">
        <v>332</v>
      </c>
      <c r="O34" s="3">
        <v>46356</v>
      </c>
      <c r="P34" s="3">
        <v>46568</v>
      </c>
      <c r="Q34" s="3">
        <v>46387</v>
      </c>
      <c r="R34" s="2" t="s">
        <v>333</v>
      </c>
      <c r="S34" s="4">
        <f t="shared" ca="1" si="0"/>
        <v>106</v>
      </c>
      <c r="T34" s="2" t="str">
        <f t="shared" ca="1" si="1"/>
        <v>경고</v>
      </c>
      <c r="U34" s="2" t="str">
        <f>IFERROR(VLOOKUP($B34,'02_위험도평가'!$A$5:$M$200,13,FALSE),"평가필요")</f>
        <v>High</v>
      </c>
      <c r="V34" s="2" t="s">
        <v>48</v>
      </c>
      <c r="W34" s="3">
        <v>46356</v>
      </c>
      <c r="X34" s="2" t="s">
        <v>148</v>
      </c>
      <c r="Y34" s="2" t="s">
        <v>132</v>
      </c>
      <c r="Z34" s="2" t="s">
        <v>334</v>
      </c>
    </row>
    <row r="35" spans="1:26" x14ac:dyDescent="0.3">
      <c r="A35" s="2">
        <v>31</v>
      </c>
      <c r="B35" s="2" t="s">
        <v>335</v>
      </c>
      <c r="C35" s="2" t="s">
        <v>26</v>
      </c>
      <c r="D35" s="2" t="s">
        <v>336</v>
      </c>
      <c r="E35" s="2" t="s">
        <v>337</v>
      </c>
      <c r="F35" s="2" t="s">
        <v>281</v>
      </c>
      <c r="G35" s="2" t="s">
        <v>336</v>
      </c>
      <c r="H35" s="2" t="s">
        <v>338</v>
      </c>
      <c r="I35" s="2" t="s">
        <v>339</v>
      </c>
      <c r="J35" s="2" t="s">
        <v>340</v>
      </c>
      <c r="K35" s="2" t="s">
        <v>117</v>
      </c>
      <c r="L35" s="2" t="s">
        <v>146</v>
      </c>
      <c r="M35" s="2" t="s">
        <v>316</v>
      </c>
      <c r="N35" s="2" t="s">
        <v>341</v>
      </c>
      <c r="O35" s="3">
        <v>46387</v>
      </c>
      <c r="P35" s="3">
        <v>46568</v>
      </c>
      <c r="Q35" s="3">
        <v>46387</v>
      </c>
      <c r="R35" s="2" t="s">
        <v>342</v>
      </c>
      <c r="S35" s="4">
        <f t="shared" ca="1" si="0"/>
        <v>137</v>
      </c>
      <c r="T35" s="2" t="str">
        <f t="shared" ca="1" si="1"/>
        <v>경고</v>
      </c>
      <c r="U35" s="2" t="str">
        <f>IFERROR(VLOOKUP($B35,'02_위험도평가'!$A$5:$M$200,13,FALSE),"평가필요")</f>
        <v>Medium</v>
      </c>
      <c r="V35" s="2" t="s">
        <v>48</v>
      </c>
      <c r="W35" s="3">
        <v>46371</v>
      </c>
      <c r="X35" s="2" t="s">
        <v>148</v>
      </c>
      <c r="Y35" s="2" t="s">
        <v>132</v>
      </c>
      <c r="Z35" s="2" t="s">
        <v>343</v>
      </c>
    </row>
    <row r="36" spans="1:26" ht="27.6" x14ac:dyDescent="0.3">
      <c r="A36" s="2">
        <v>32</v>
      </c>
      <c r="B36" s="2" t="s">
        <v>344</v>
      </c>
      <c r="C36" s="2" t="s">
        <v>28</v>
      </c>
      <c r="D36" s="2" t="s">
        <v>345</v>
      </c>
      <c r="E36" s="2" t="s">
        <v>346</v>
      </c>
      <c r="F36" s="2" t="s">
        <v>225</v>
      </c>
      <c r="G36" s="2" t="s">
        <v>347</v>
      </c>
      <c r="H36" s="2" t="s">
        <v>237</v>
      </c>
      <c r="I36" s="2" t="s">
        <v>348</v>
      </c>
      <c r="J36" s="2" t="s">
        <v>229</v>
      </c>
      <c r="K36" s="2" t="s">
        <v>117</v>
      </c>
      <c r="L36" s="2" t="s">
        <v>194</v>
      </c>
      <c r="M36" s="2" t="s">
        <v>72</v>
      </c>
      <c r="N36" s="2" t="s">
        <v>141</v>
      </c>
      <c r="O36" s="3">
        <v>46173</v>
      </c>
      <c r="P36" s="3">
        <v>46173</v>
      </c>
      <c r="Q36" s="3">
        <v>46387</v>
      </c>
      <c r="R36" s="2" t="s">
        <v>349</v>
      </c>
      <c r="S36" s="4">
        <f t="shared" ca="1" si="0"/>
        <v>-77</v>
      </c>
      <c r="T36" s="2" t="str">
        <f t="shared" ca="1" si="1"/>
        <v>위험</v>
      </c>
      <c r="U36" s="2" t="str">
        <f>IFERROR(VLOOKUP($B36,'02_위험도평가'!$A$5:$M$200,13,FALSE),"평가필요")</f>
        <v>High</v>
      </c>
      <c r="V36" s="2" t="s">
        <v>48</v>
      </c>
      <c r="W36" s="3">
        <v>46234</v>
      </c>
      <c r="X36" s="2" t="s">
        <v>8</v>
      </c>
      <c r="Y36" s="2" t="s">
        <v>132</v>
      </c>
      <c r="Z36" s="2" t="s">
        <v>350</v>
      </c>
    </row>
    <row r="37" spans="1:26" x14ac:dyDescent="0.3">
      <c r="A37" s="2">
        <v>33</v>
      </c>
      <c r="B37" s="2" t="s">
        <v>351</v>
      </c>
      <c r="C37" s="2" t="s">
        <v>28</v>
      </c>
      <c r="D37" s="2" t="s">
        <v>352</v>
      </c>
      <c r="E37" s="2" t="s">
        <v>353</v>
      </c>
      <c r="F37" s="2" t="s">
        <v>225</v>
      </c>
      <c r="G37" s="2" t="s">
        <v>354</v>
      </c>
      <c r="H37" s="2" t="s">
        <v>237</v>
      </c>
      <c r="I37" s="2" t="s">
        <v>348</v>
      </c>
      <c r="J37" s="2" t="s">
        <v>229</v>
      </c>
      <c r="K37" s="2" t="s">
        <v>117</v>
      </c>
      <c r="L37" s="2" t="s">
        <v>194</v>
      </c>
      <c r="M37" s="2" t="s">
        <v>72</v>
      </c>
      <c r="N37" s="2" t="s">
        <v>355</v>
      </c>
      <c r="O37" s="3">
        <v>46265</v>
      </c>
      <c r="P37" s="3">
        <v>46387</v>
      </c>
      <c r="Q37" s="3">
        <v>46387</v>
      </c>
      <c r="R37" s="2" t="s">
        <v>349</v>
      </c>
      <c r="S37" s="4">
        <f t="shared" ca="1" si="0"/>
        <v>15</v>
      </c>
      <c r="T37" s="2" t="str">
        <f t="shared" ca="1" si="1"/>
        <v>위험</v>
      </c>
      <c r="U37" s="2" t="str">
        <f>IFERROR(VLOOKUP($B37,'02_위험도평가'!$A$5:$M$200,13,FALSE),"평가필요")</f>
        <v>High</v>
      </c>
      <c r="V37" s="2" t="s">
        <v>48</v>
      </c>
      <c r="W37" s="3">
        <v>46265</v>
      </c>
      <c r="X37" s="2" t="s">
        <v>122</v>
      </c>
      <c r="Y37" s="2" t="s">
        <v>132</v>
      </c>
      <c r="Z37" s="2" t="s">
        <v>356</v>
      </c>
    </row>
    <row r="38" spans="1:26" x14ac:dyDescent="0.3">
      <c r="A38" s="2">
        <v>34</v>
      </c>
      <c r="B38" s="2" t="s">
        <v>357</v>
      </c>
      <c r="C38" s="2" t="s">
        <v>28</v>
      </c>
      <c r="D38" s="2" t="s">
        <v>358</v>
      </c>
      <c r="E38" s="2" t="s">
        <v>359</v>
      </c>
      <c r="F38" s="2" t="s">
        <v>225</v>
      </c>
      <c r="G38" s="2" t="s">
        <v>360</v>
      </c>
      <c r="H38" s="2" t="s">
        <v>237</v>
      </c>
      <c r="I38" s="2" t="s">
        <v>348</v>
      </c>
      <c r="J38" s="2" t="s">
        <v>229</v>
      </c>
      <c r="K38" s="2" t="s">
        <v>117</v>
      </c>
      <c r="L38" s="2" t="s">
        <v>194</v>
      </c>
      <c r="M38" s="2" t="s">
        <v>72</v>
      </c>
      <c r="N38" s="2" t="s">
        <v>360</v>
      </c>
      <c r="O38" s="3">
        <v>46295</v>
      </c>
      <c r="P38" s="3">
        <v>46477</v>
      </c>
      <c r="Q38" s="3">
        <v>46387</v>
      </c>
      <c r="R38" s="2" t="s">
        <v>349</v>
      </c>
      <c r="S38" s="4">
        <f t="shared" ca="1" si="0"/>
        <v>45</v>
      </c>
      <c r="T38" s="2" t="str">
        <f t="shared" ca="1" si="1"/>
        <v>위험</v>
      </c>
      <c r="U38" s="2" t="str">
        <f>IFERROR(VLOOKUP($B38,'02_위험도평가'!$A$5:$M$200,13,FALSE),"평가필요")</f>
        <v>High</v>
      </c>
      <c r="V38" s="2" t="s">
        <v>48</v>
      </c>
      <c r="W38" s="3">
        <v>46295</v>
      </c>
      <c r="X38" s="2" t="s">
        <v>148</v>
      </c>
      <c r="Y38" s="2" t="s">
        <v>132</v>
      </c>
      <c r="Z38" s="2" t="s">
        <v>361</v>
      </c>
    </row>
    <row r="39" spans="1:26" x14ac:dyDescent="0.3">
      <c r="A39" s="2">
        <v>35</v>
      </c>
      <c r="B39" s="2" t="s">
        <v>362</v>
      </c>
      <c r="C39" s="2" t="s">
        <v>23</v>
      </c>
      <c r="D39" s="2" t="s">
        <v>363</v>
      </c>
      <c r="E39" s="2" t="s">
        <v>364</v>
      </c>
      <c r="F39" s="2" t="s">
        <v>281</v>
      </c>
      <c r="G39" s="2" t="s">
        <v>365</v>
      </c>
      <c r="H39" s="2" t="s">
        <v>366</v>
      </c>
      <c r="I39" s="2" t="s">
        <v>115</v>
      </c>
      <c r="J39" s="2" t="s">
        <v>367</v>
      </c>
      <c r="K39" s="2" t="s">
        <v>117</v>
      </c>
      <c r="L39" s="2" t="s">
        <v>129</v>
      </c>
      <c r="M39" s="2" t="s">
        <v>89</v>
      </c>
      <c r="N39" s="2" t="s">
        <v>120</v>
      </c>
      <c r="O39" s="3">
        <v>46326</v>
      </c>
      <c r="P39" s="3">
        <v>46507</v>
      </c>
      <c r="Q39" s="3">
        <v>46387</v>
      </c>
      <c r="R39" s="2" t="s">
        <v>240</v>
      </c>
      <c r="S39" s="4">
        <f t="shared" ca="1" si="0"/>
        <v>76</v>
      </c>
      <c r="T39" s="2" t="str">
        <f t="shared" ca="1" si="1"/>
        <v>위험</v>
      </c>
      <c r="U39" s="2" t="str">
        <f>IFERROR(VLOOKUP($B39,'02_위험도평가'!$A$5:$M$200,13,FALSE),"평가필요")</f>
        <v>High</v>
      </c>
      <c r="V39" s="2" t="s">
        <v>48</v>
      </c>
      <c r="W39" s="3">
        <v>46326</v>
      </c>
      <c r="X39" s="2" t="s">
        <v>122</v>
      </c>
      <c r="Y39" s="2" t="s">
        <v>132</v>
      </c>
      <c r="Z39" s="2" t="s">
        <v>368</v>
      </c>
    </row>
    <row r="40" spans="1:26" x14ac:dyDescent="0.3">
      <c r="A40" s="2">
        <v>36</v>
      </c>
      <c r="B40" s="2" t="s">
        <v>369</v>
      </c>
      <c r="C40" s="2" t="s">
        <v>29</v>
      </c>
      <c r="D40" s="2" t="s">
        <v>370</v>
      </c>
      <c r="E40" s="2" t="s">
        <v>371</v>
      </c>
      <c r="F40" s="2" t="s">
        <v>126</v>
      </c>
      <c r="G40" s="2" t="s">
        <v>372</v>
      </c>
      <c r="H40" s="2" t="s">
        <v>373</v>
      </c>
      <c r="I40" s="2" t="s">
        <v>115</v>
      </c>
      <c r="J40" s="2" t="s">
        <v>374</v>
      </c>
      <c r="K40" s="2" t="s">
        <v>117</v>
      </c>
      <c r="L40" s="2" t="s">
        <v>129</v>
      </c>
      <c r="M40" s="2" t="s">
        <v>63</v>
      </c>
      <c r="N40" s="2" t="s">
        <v>130</v>
      </c>
      <c r="O40" s="3">
        <v>46356</v>
      </c>
      <c r="P40" s="3">
        <v>46477</v>
      </c>
      <c r="Q40" s="3">
        <v>46387</v>
      </c>
      <c r="R40" s="2" t="s">
        <v>136</v>
      </c>
      <c r="S40" s="4">
        <f t="shared" ca="1" si="0"/>
        <v>106</v>
      </c>
      <c r="T40" s="2" t="str">
        <f t="shared" ca="1" si="1"/>
        <v>경고</v>
      </c>
      <c r="U40" s="2" t="str">
        <f>IFERROR(VLOOKUP($B40,'02_위험도평가'!$A$5:$M$200,13,FALSE),"평가필요")</f>
        <v>High</v>
      </c>
      <c r="V40" s="2" t="s">
        <v>48</v>
      </c>
      <c r="W40" s="3">
        <v>46356</v>
      </c>
      <c r="X40" s="2" t="s">
        <v>148</v>
      </c>
      <c r="Y40" s="2" t="s">
        <v>132</v>
      </c>
      <c r="Z40" s="2" t="s">
        <v>375</v>
      </c>
    </row>
  </sheetData>
  <mergeCells count="2">
    <mergeCell ref="A1:Z1"/>
    <mergeCell ref="A2:Z2"/>
  </mergeCells>
  <phoneticPr fontId="9" type="noConversion"/>
  <conditionalFormatting sqref="T5:T40">
    <cfRule type="expression" dxfId="12" priority="1">
      <formula>T5="위험"</formula>
    </cfRule>
    <cfRule type="expression" dxfId="11" priority="2">
      <formula>T5="경고"</formula>
    </cfRule>
    <cfRule type="expression" dxfId="10" priority="3">
      <formula>T5="주의"</formula>
    </cfRule>
  </conditionalFormatting>
  <conditionalFormatting sqref="U5:U40">
    <cfRule type="expression" dxfId="9" priority="4">
      <formula>U5="Critical"</formula>
    </cfRule>
    <cfRule type="expression" dxfId="8" priority="5">
      <formula>U5="High"</formula>
    </cfRule>
    <cfRule type="expression" dxfId="7" priority="6">
      <formula>U5="Medium"</formula>
    </cfRule>
    <cfRule type="expression" dxfId="6" priority="7">
      <formula>U5="Low"</formula>
    </cfRule>
  </conditionalFormatting>
  <dataValidations count="4">
    <dataValidation type="list" sqref="K5:K40">
      <formula1>"DEV,TEST,STG,PROD,DR"</formula1>
    </dataValidation>
    <dataValidation type="list" sqref="V5:V40">
      <formula1>"Upgrade,Replace,Remove,Extended Support,Isolation,Exception"</formula1>
    </dataValidation>
    <dataValidation type="list" sqref="X5:X40">
      <formula1>"미착수,계획수립,진행중,테스트중,완료,보류,예외관리"</formula1>
    </dataValidation>
    <dataValidation type="list" sqref="Y5:Y40">
      <formula1>"필요,불필요,승인완료"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'06_코드기준표'!$A$5:$A$17</xm:f>
          </x14:formula1>
          <xm:sqref>F5:F40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workbookViewId="0">
      <selection activeCell="E53" sqref="E53"/>
    </sheetView>
  </sheetViews>
  <sheetFormatPr defaultRowHeight="14.4" x14ac:dyDescent="0.3"/>
  <cols>
    <col min="1" max="1" width="18" customWidth="1"/>
    <col min="2" max="2" width="16" customWidth="1"/>
    <col min="3" max="3" width="20" customWidth="1"/>
    <col min="4" max="4" width="14" customWidth="1"/>
    <col min="5" max="7" width="10" customWidth="1"/>
    <col min="8" max="10" width="12" customWidth="1"/>
    <col min="11" max="11" width="10" customWidth="1"/>
    <col min="12" max="12" width="8" customWidth="1"/>
    <col min="13" max="13" width="10" customWidth="1"/>
    <col min="14" max="14" width="42" customWidth="1"/>
  </cols>
  <sheetData>
    <row r="1" spans="1:26" ht="24" customHeight="1" x14ac:dyDescent="0.3">
      <c r="A1" s="8" t="s">
        <v>376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">
      <c r="A2" s="10" t="s">
        <v>377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26" ht="27.6" x14ac:dyDescent="0.3">
      <c r="A4" s="1" t="s">
        <v>36</v>
      </c>
      <c r="B4" s="1" t="s">
        <v>14</v>
      </c>
      <c r="C4" s="1" t="s">
        <v>39</v>
      </c>
      <c r="D4" s="1" t="s">
        <v>40</v>
      </c>
      <c r="E4" s="1" t="s">
        <v>378</v>
      </c>
      <c r="F4" s="1" t="s">
        <v>379</v>
      </c>
      <c r="G4" s="1" t="s">
        <v>380</v>
      </c>
      <c r="H4" s="1" t="s">
        <v>381</v>
      </c>
      <c r="I4" s="1" t="s">
        <v>382</v>
      </c>
      <c r="J4" s="1" t="s">
        <v>383</v>
      </c>
      <c r="K4" s="1" t="s">
        <v>384</v>
      </c>
      <c r="L4" s="1" t="s">
        <v>385</v>
      </c>
      <c r="M4" s="1" t="s">
        <v>12</v>
      </c>
      <c r="N4" s="1" t="s">
        <v>386</v>
      </c>
    </row>
    <row r="5" spans="1:26" ht="27.6" x14ac:dyDescent="0.3">
      <c r="A5" s="2" t="s">
        <v>108</v>
      </c>
      <c r="B5" s="2" t="s">
        <v>109</v>
      </c>
      <c r="C5" s="2" t="s">
        <v>113</v>
      </c>
      <c r="D5" s="2" t="s">
        <v>114</v>
      </c>
      <c r="E5" s="2">
        <v>4</v>
      </c>
      <c r="F5" s="2">
        <v>5</v>
      </c>
      <c r="G5" s="2">
        <v>5</v>
      </c>
      <c r="H5" s="2">
        <v>3</v>
      </c>
      <c r="I5" s="2">
        <v>4</v>
      </c>
      <c r="J5" s="2">
        <v>5</v>
      </c>
      <c r="K5" s="2">
        <v>4</v>
      </c>
      <c r="L5" s="2">
        <f t="shared" ref="L5:L40" si="0">SUM(E5:K5)</f>
        <v>30</v>
      </c>
      <c r="M5" s="2" t="str">
        <f t="shared" ref="M5:M40" si="1">IF(L5&gt;=32,"Critical",IF(L5&gt;=26,"High",IF(L5&gt;=20,"Medium","Low")))</f>
        <v>High</v>
      </c>
      <c r="N5" s="2" t="s">
        <v>387</v>
      </c>
    </row>
    <row r="6" spans="1:26" ht="27.6" x14ac:dyDescent="0.3">
      <c r="A6" s="2" t="s">
        <v>58</v>
      </c>
      <c r="B6" s="2" t="s">
        <v>59</v>
      </c>
      <c r="C6" s="2" t="s">
        <v>61</v>
      </c>
      <c r="D6" s="2" t="s">
        <v>62</v>
      </c>
      <c r="E6" s="2">
        <v>5</v>
      </c>
      <c r="F6" s="2">
        <v>5</v>
      </c>
      <c r="G6" s="2">
        <v>4</v>
      </c>
      <c r="H6" s="2">
        <v>4</v>
      </c>
      <c r="I6" s="2">
        <v>5</v>
      </c>
      <c r="J6" s="2">
        <v>5</v>
      </c>
      <c r="K6" s="2">
        <v>5</v>
      </c>
      <c r="L6" s="2">
        <f t="shared" si="0"/>
        <v>33</v>
      </c>
      <c r="M6" s="2" t="str">
        <f t="shared" si="1"/>
        <v>Critical</v>
      </c>
      <c r="N6" s="2" t="s">
        <v>387</v>
      </c>
    </row>
    <row r="7" spans="1:26" ht="27.6" x14ac:dyDescent="0.3">
      <c r="A7" s="2" t="s">
        <v>64</v>
      </c>
      <c r="B7" s="2" t="s">
        <v>59</v>
      </c>
      <c r="C7" s="2" t="s">
        <v>66</v>
      </c>
      <c r="D7" s="2" t="s">
        <v>67</v>
      </c>
      <c r="E7" s="2">
        <v>5</v>
      </c>
      <c r="F7" s="2">
        <v>5</v>
      </c>
      <c r="G7" s="2">
        <v>4</v>
      </c>
      <c r="H7" s="2">
        <v>4</v>
      </c>
      <c r="I7" s="2">
        <v>5</v>
      </c>
      <c r="J7" s="2">
        <v>5</v>
      </c>
      <c r="K7" s="2">
        <v>4</v>
      </c>
      <c r="L7" s="2">
        <f t="shared" si="0"/>
        <v>32</v>
      </c>
      <c r="M7" s="2" t="str">
        <f t="shared" si="1"/>
        <v>Critical</v>
      </c>
      <c r="N7" s="2" t="s">
        <v>387</v>
      </c>
    </row>
    <row r="8" spans="1:26" ht="27.6" x14ac:dyDescent="0.3">
      <c r="A8" s="2" t="s">
        <v>78</v>
      </c>
      <c r="B8" s="2" t="s">
        <v>34</v>
      </c>
      <c r="C8" s="2" t="s">
        <v>80</v>
      </c>
      <c r="D8" s="2" t="s">
        <v>81</v>
      </c>
      <c r="E8" s="2">
        <v>4</v>
      </c>
      <c r="F8" s="2">
        <v>5</v>
      </c>
      <c r="G8" s="2">
        <v>5</v>
      </c>
      <c r="H8" s="2">
        <v>5</v>
      </c>
      <c r="I8" s="2">
        <v>4</v>
      </c>
      <c r="J8" s="2">
        <v>3</v>
      </c>
      <c r="K8" s="2">
        <v>5</v>
      </c>
      <c r="L8" s="2">
        <f t="shared" si="0"/>
        <v>31</v>
      </c>
      <c r="M8" s="2" t="str">
        <f t="shared" si="1"/>
        <v>High</v>
      </c>
      <c r="N8" s="2" t="s">
        <v>387</v>
      </c>
    </row>
    <row r="9" spans="1:26" ht="27.6" x14ac:dyDescent="0.3">
      <c r="A9" s="2" t="s">
        <v>82</v>
      </c>
      <c r="B9" s="2" t="s">
        <v>34</v>
      </c>
      <c r="C9" s="2" t="s">
        <v>84</v>
      </c>
      <c r="D9" s="2" t="s">
        <v>85</v>
      </c>
      <c r="E9" s="2">
        <v>4</v>
      </c>
      <c r="F9" s="2">
        <v>5</v>
      </c>
      <c r="G9" s="2">
        <v>5</v>
      </c>
      <c r="H9" s="2">
        <v>5</v>
      </c>
      <c r="I9" s="2">
        <v>4</v>
      </c>
      <c r="J9" s="2">
        <v>3</v>
      </c>
      <c r="K9" s="2">
        <v>5</v>
      </c>
      <c r="L9" s="2">
        <f t="shared" si="0"/>
        <v>31</v>
      </c>
      <c r="M9" s="2" t="str">
        <f t="shared" si="1"/>
        <v>High</v>
      </c>
      <c r="N9" s="2" t="s">
        <v>387</v>
      </c>
    </row>
    <row r="10" spans="1:26" ht="27.6" x14ac:dyDescent="0.3">
      <c r="A10" s="2" t="s">
        <v>86</v>
      </c>
      <c r="B10" s="2" t="s">
        <v>21</v>
      </c>
      <c r="C10" s="2" t="s">
        <v>87</v>
      </c>
      <c r="D10" s="2" t="s">
        <v>88</v>
      </c>
      <c r="E10" s="2">
        <v>5</v>
      </c>
      <c r="F10" s="2">
        <v>5</v>
      </c>
      <c r="G10" s="2">
        <v>3</v>
      </c>
      <c r="H10" s="2">
        <v>5</v>
      </c>
      <c r="I10" s="2">
        <v>5</v>
      </c>
      <c r="J10" s="2">
        <v>3</v>
      </c>
      <c r="K10" s="2">
        <v>5</v>
      </c>
      <c r="L10" s="2">
        <f t="shared" si="0"/>
        <v>31</v>
      </c>
      <c r="M10" s="2" t="str">
        <f t="shared" si="1"/>
        <v>High</v>
      </c>
      <c r="N10" s="2" t="s">
        <v>387</v>
      </c>
    </row>
    <row r="11" spans="1:26" ht="27.6" x14ac:dyDescent="0.3">
      <c r="A11" s="2" t="s">
        <v>157</v>
      </c>
      <c r="B11" s="2" t="s">
        <v>21</v>
      </c>
      <c r="C11" s="2" t="s">
        <v>87</v>
      </c>
      <c r="D11" s="2" t="s">
        <v>88</v>
      </c>
      <c r="E11" s="2">
        <v>5</v>
      </c>
      <c r="F11" s="2">
        <v>5</v>
      </c>
      <c r="G11" s="2">
        <v>3</v>
      </c>
      <c r="H11" s="2">
        <v>5</v>
      </c>
      <c r="I11" s="2">
        <v>5</v>
      </c>
      <c r="J11" s="2">
        <v>3</v>
      </c>
      <c r="K11" s="2">
        <v>5</v>
      </c>
      <c r="L11" s="2">
        <f t="shared" si="0"/>
        <v>31</v>
      </c>
      <c r="M11" s="2" t="str">
        <f t="shared" si="1"/>
        <v>High</v>
      </c>
      <c r="N11" s="2" t="s">
        <v>387</v>
      </c>
    </row>
    <row r="12" spans="1:26" ht="27.6" x14ac:dyDescent="0.3">
      <c r="A12" s="2" t="s">
        <v>68</v>
      </c>
      <c r="B12" s="2" t="s">
        <v>21</v>
      </c>
      <c r="C12" s="2" t="s">
        <v>70</v>
      </c>
      <c r="D12" s="2" t="s">
        <v>71</v>
      </c>
      <c r="E12" s="2">
        <v>5</v>
      </c>
      <c r="F12" s="2">
        <v>5</v>
      </c>
      <c r="G12" s="2">
        <v>3</v>
      </c>
      <c r="H12" s="2">
        <v>5</v>
      </c>
      <c r="I12" s="2">
        <v>5</v>
      </c>
      <c r="J12" s="2">
        <v>4</v>
      </c>
      <c r="K12" s="2">
        <v>5</v>
      </c>
      <c r="L12" s="2">
        <f t="shared" si="0"/>
        <v>32</v>
      </c>
      <c r="M12" s="2" t="str">
        <f t="shared" si="1"/>
        <v>Critical</v>
      </c>
      <c r="N12" s="2" t="s">
        <v>387</v>
      </c>
    </row>
    <row r="13" spans="1:26" ht="27.6" x14ac:dyDescent="0.3">
      <c r="A13" s="2" t="s">
        <v>73</v>
      </c>
      <c r="B13" s="2" t="s">
        <v>21</v>
      </c>
      <c r="C13" s="2" t="s">
        <v>75</v>
      </c>
      <c r="D13" s="2" t="s">
        <v>76</v>
      </c>
      <c r="E13" s="2">
        <v>5</v>
      </c>
      <c r="F13" s="2">
        <v>5</v>
      </c>
      <c r="G13" s="2">
        <v>3</v>
      </c>
      <c r="H13" s="2">
        <v>5</v>
      </c>
      <c r="I13" s="2">
        <v>5</v>
      </c>
      <c r="J13" s="2">
        <v>4</v>
      </c>
      <c r="K13" s="2">
        <v>5</v>
      </c>
      <c r="L13" s="2">
        <f t="shared" si="0"/>
        <v>32</v>
      </c>
      <c r="M13" s="2" t="str">
        <f t="shared" si="1"/>
        <v>Critical</v>
      </c>
      <c r="N13" s="2" t="s">
        <v>387</v>
      </c>
    </row>
    <row r="14" spans="1:26" ht="27.6" x14ac:dyDescent="0.3">
      <c r="A14" s="2" t="s">
        <v>170</v>
      </c>
      <c r="B14" s="2" t="s">
        <v>21</v>
      </c>
      <c r="C14" s="2" t="s">
        <v>75</v>
      </c>
      <c r="D14" s="2" t="s">
        <v>173</v>
      </c>
      <c r="E14" s="2">
        <v>5</v>
      </c>
      <c r="F14" s="2">
        <v>5</v>
      </c>
      <c r="G14" s="2">
        <v>3</v>
      </c>
      <c r="H14" s="2">
        <v>5</v>
      </c>
      <c r="I14" s="2">
        <v>4</v>
      </c>
      <c r="J14" s="2">
        <v>4</v>
      </c>
      <c r="K14" s="2">
        <v>3</v>
      </c>
      <c r="L14" s="2">
        <f t="shared" si="0"/>
        <v>29</v>
      </c>
      <c r="M14" s="2" t="str">
        <f t="shared" si="1"/>
        <v>High</v>
      </c>
      <c r="N14" s="2" t="s">
        <v>387</v>
      </c>
    </row>
    <row r="15" spans="1:26" ht="27.6" x14ac:dyDescent="0.3">
      <c r="A15" s="2" t="s">
        <v>176</v>
      </c>
      <c r="B15" s="2" t="s">
        <v>21</v>
      </c>
      <c r="C15" s="2" t="s">
        <v>180</v>
      </c>
      <c r="D15" s="2" t="s">
        <v>181</v>
      </c>
      <c r="E15" s="2">
        <v>5</v>
      </c>
      <c r="F15" s="2">
        <v>5</v>
      </c>
      <c r="G15" s="2">
        <v>3</v>
      </c>
      <c r="H15" s="2">
        <v>3</v>
      </c>
      <c r="I15" s="2">
        <v>4</v>
      </c>
      <c r="J15" s="2">
        <v>4</v>
      </c>
      <c r="K15" s="2">
        <v>5</v>
      </c>
      <c r="L15" s="2">
        <f t="shared" si="0"/>
        <v>29</v>
      </c>
      <c r="M15" s="2" t="str">
        <f t="shared" si="1"/>
        <v>High</v>
      </c>
      <c r="N15" s="2" t="s">
        <v>387</v>
      </c>
    </row>
    <row r="16" spans="1:26" ht="27.6" x14ac:dyDescent="0.3">
      <c r="A16" s="2" t="s">
        <v>187</v>
      </c>
      <c r="B16" s="2" t="s">
        <v>21</v>
      </c>
      <c r="C16" s="2" t="s">
        <v>190</v>
      </c>
      <c r="D16" s="2" t="s">
        <v>191</v>
      </c>
      <c r="E16" s="2">
        <v>5</v>
      </c>
      <c r="F16" s="2">
        <v>5</v>
      </c>
      <c r="G16" s="2">
        <v>3</v>
      </c>
      <c r="H16" s="2">
        <v>3</v>
      </c>
      <c r="I16" s="2">
        <v>4</v>
      </c>
      <c r="J16" s="2">
        <v>4</v>
      </c>
      <c r="K16" s="2">
        <v>5</v>
      </c>
      <c r="L16" s="2">
        <f t="shared" si="0"/>
        <v>29</v>
      </c>
      <c r="M16" s="2" t="str">
        <f t="shared" si="1"/>
        <v>High</v>
      </c>
      <c r="N16" s="2" t="s">
        <v>387</v>
      </c>
    </row>
    <row r="17" spans="1:14" ht="27.6" x14ac:dyDescent="0.3">
      <c r="A17" s="2" t="s">
        <v>196</v>
      </c>
      <c r="B17" s="2" t="s">
        <v>21</v>
      </c>
      <c r="C17" s="2" t="s">
        <v>199</v>
      </c>
      <c r="D17" s="2" t="s">
        <v>200</v>
      </c>
      <c r="E17" s="2">
        <v>5</v>
      </c>
      <c r="F17" s="2">
        <v>5</v>
      </c>
      <c r="G17" s="2">
        <v>3</v>
      </c>
      <c r="H17" s="2">
        <v>3</v>
      </c>
      <c r="I17" s="2">
        <v>4</v>
      </c>
      <c r="J17" s="2">
        <v>4</v>
      </c>
      <c r="K17" s="2">
        <v>3</v>
      </c>
      <c r="L17" s="2">
        <f t="shared" si="0"/>
        <v>27</v>
      </c>
      <c r="M17" s="2" t="str">
        <f t="shared" si="1"/>
        <v>High</v>
      </c>
      <c r="N17" s="2" t="s">
        <v>387</v>
      </c>
    </row>
    <row r="18" spans="1:14" ht="27.6" x14ac:dyDescent="0.3">
      <c r="A18" s="2" t="s">
        <v>205</v>
      </c>
      <c r="B18" s="2" t="s">
        <v>25</v>
      </c>
      <c r="C18" s="2" t="s">
        <v>209</v>
      </c>
      <c r="D18" s="2" t="s">
        <v>210</v>
      </c>
      <c r="E18" s="2">
        <v>5</v>
      </c>
      <c r="F18" s="2">
        <v>5</v>
      </c>
      <c r="G18" s="2">
        <v>3</v>
      </c>
      <c r="H18" s="2">
        <v>4</v>
      </c>
      <c r="I18" s="2">
        <v>5</v>
      </c>
      <c r="J18" s="2">
        <v>5</v>
      </c>
      <c r="K18" s="2">
        <v>3</v>
      </c>
      <c r="L18" s="2">
        <f t="shared" si="0"/>
        <v>30</v>
      </c>
      <c r="M18" s="2" t="str">
        <f t="shared" si="1"/>
        <v>High</v>
      </c>
      <c r="N18" s="2" t="s">
        <v>387</v>
      </c>
    </row>
    <row r="19" spans="1:14" ht="27.6" x14ac:dyDescent="0.3">
      <c r="A19" s="2" t="s">
        <v>218</v>
      </c>
      <c r="B19" s="2" t="s">
        <v>25</v>
      </c>
      <c r="C19" s="2" t="s">
        <v>209</v>
      </c>
      <c r="D19" s="2" t="s">
        <v>210</v>
      </c>
      <c r="E19" s="2">
        <v>5</v>
      </c>
      <c r="F19" s="2">
        <v>5</v>
      </c>
      <c r="G19" s="2">
        <v>3</v>
      </c>
      <c r="H19" s="2">
        <v>4</v>
      </c>
      <c r="I19" s="2">
        <v>5</v>
      </c>
      <c r="J19" s="2">
        <v>5</v>
      </c>
      <c r="K19" s="2">
        <v>3</v>
      </c>
      <c r="L19" s="2">
        <f t="shared" si="0"/>
        <v>30</v>
      </c>
      <c r="M19" s="2" t="str">
        <f t="shared" si="1"/>
        <v>High</v>
      </c>
      <c r="N19" s="2" t="s">
        <v>387</v>
      </c>
    </row>
    <row r="20" spans="1:14" ht="27.6" x14ac:dyDescent="0.3">
      <c r="A20" s="2" t="s">
        <v>223</v>
      </c>
      <c r="B20" s="2" t="s">
        <v>25</v>
      </c>
      <c r="C20" s="2" t="s">
        <v>226</v>
      </c>
      <c r="D20" s="2" t="s">
        <v>227</v>
      </c>
      <c r="E20" s="2">
        <v>5</v>
      </c>
      <c r="F20" s="2">
        <v>5</v>
      </c>
      <c r="G20" s="2">
        <v>3</v>
      </c>
      <c r="H20" s="2">
        <v>5</v>
      </c>
      <c r="I20" s="2">
        <v>5</v>
      </c>
      <c r="J20" s="2">
        <v>3</v>
      </c>
      <c r="K20" s="2">
        <v>5</v>
      </c>
      <c r="L20" s="2">
        <f t="shared" si="0"/>
        <v>31</v>
      </c>
      <c r="M20" s="2" t="str">
        <f t="shared" si="1"/>
        <v>High</v>
      </c>
      <c r="N20" s="2" t="s">
        <v>387</v>
      </c>
    </row>
    <row r="21" spans="1:14" ht="27.6" x14ac:dyDescent="0.3">
      <c r="A21" s="2" t="s">
        <v>232</v>
      </c>
      <c r="B21" s="2" t="s">
        <v>27</v>
      </c>
      <c r="C21" s="2" t="s">
        <v>236</v>
      </c>
      <c r="D21" s="2" t="s">
        <v>237</v>
      </c>
      <c r="E21" s="2">
        <v>5</v>
      </c>
      <c r="F21" s="2">
        <v>5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f t="shared" si="0"/>
        <v>30</v>
      </c>
      <c r="M21" s="2" t="str">
        <f t="shared" si="1"/>
        <v>High</v>
      </c>
      <c r="N21" s="2" t="s">
        <v>387</v>
      </c>
    </row>
    <row r="22" spans="1:14" ht="27.6" x14ac:dyDescent="0.3">
      <c r="A22" s="2" t="s">
        <v>242</v>
      </c>
      <c r="B22" s="2" t="s">
        <v>27</v>
      </c>
      <c r="C22" s="2" t="s">
        <v>245</v>
      </c>
      <c r="D22" s="2" t="s">
        <v>246</v>
      </c>
      <c r="E22" s="2">
        <v>5</v>
      </c>
      <c r="F22" s="2">
        <v>5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f t="shared" si="0"/>
        <v>30</v>
      </c>
      <c r="M22" s="2" t="str">
        <f t="shared" si="1"/>
        <v>High</v>
      </c>
      <c r="N22" s="2" t="s">
        <v>387</v>
      </c>
    </row>
    <row r="23" spans="1:14" ht="27.6" x14ac:dyDescent="0.3">
      <c r="A23" s="2" t="s">
        <v>249</v>
      </c>
      <c r="B23" s="2" t="s">
        <v>31</v>
      </c>
      <c r="C23" s="2" t="s">
        <v>252</v>
      </c>
      <c r="D23" s="2" t="s">
        <v>253</v>
      </c>
      <c r="E23" s="2">
        <v>5</v>
      </c>
      <c r="F23" s="2">
        <v>5</v>
      </c>
      <c r="G23" s="2">
        <v>3</v>
      </c>
      <c r="H23" s="2">
        <v>4</v>
      </c>
      <c r="I23" s="2">
        <v>5</v>
      </c>
      <c r="J23" s="2">
        <v>4</v>
      </c>
      <c r="K23" s="2">
        <v>5</v>
      </c>
      <c r="L23" s="2">
        <f t="shared" si="0"/>
        <v>31</v>
      </c>
      <c r="M23" s="2" t="str">
        <f t="shared" si="1"/>
        <v>High</v>
      </c>
      <c r="N23" s="2" t="s">
        <v>387</v>
      </c>
    </row>
    <row r="24" spans="1:14" ht="27.6" x14ac:dyDescent="0.3">
      <c r="A24" s="2" t="s">
        <v>260</v>
      </c>
      <c r="B24" s="2" t="s">
        <v>31</v>
      </c>
      <c r="C24" s="2" t="s">
        <v>263</v>
      </c>
      <c r="D24" s="2" t="s">
        <v>264</v>
      </c>
      <c r="E24" s="2">
        <v>5</v>
      </c>
      <c r="F24" s="2">
        <v>5</v>
      </c>
      <c r="G24" s="2">
        <v>3</v>
      </c>
      <c r="H24" s="2">
        <v>4</v>
      </c>
      <c r="I24" s="2">
        <v>4</v>
      </c>
      <c r="J24" s="2">
        <v>4</v>
      </c>
      <c r="K24" s="2">
        <v>4</v>
      </c>
      <c r="L24" s="2">
        <f t="shared" si="0"/>
        <v>29</v>
      </c>
      <c r="M24" s="2" t="str">
        <f t="shared" si="1"/>
        <v>High</v>
      </c>
      <c r="N24" s="2" t="s">
        <v>387</v>
      </c>
    </row>
    <row r="25" spans="1:14" ht="27.6" x14ac:dyDescent="0.3">
      <c r="A25" s="2" t="s">
        <v>268</v>
      </c>
      <c r="B25" s="2" t="s">
        <v>24</v>
      </c>
      <c r="C25" s="2" t="s">
        <v>272</v>
      </c>
      <c r="D25" s="2" t="s">
        <v>237</v>
      </c>
      <c r="E25" s="2">
        <v>4</v>
      </c>
      <c r="F25" s="2">
        <v>5</v>
      </c>
      <c r="G25" s="2">
        <v>3</v>
      </c>
      <c r="H25" s="2">
        <v>3</v>
      </c>
      <c r="I25" s="2">
        <v>4</v>
      </c>
      <c r="J25" s="2">
        <v>5</v>
      </c>
      <c r="K25" s="2">
        <v>3</v>
      </c>
      <c r="L25" s="2">
        <f t="shared" si="0"/>
        <v>27</v>
      </c>
      <c r="M25" s="2" t="str">
        <f t="shared" si="1"/>
        <v>High</v>
      </c>
      <c r="N25" s="2" t="s">
        <v>387</v>
      </c>
    </row>
    <row r="26" spans="1:14" ht="27.6" x14ac:dyDescent="0.3">
      <c r="A26" s="2" t="s">
        <v>278</v>
      </c>
      <c r="B26" s="2" t="s">
        <v>22</v>
      </c>
      <c r="C26" s="2" t="s">
        <v>282</v>
      </c>
      <c r="D26" s="2" t="s">
        <v>283</v>
      </c>
      <c r="E26" s="2">
        <v>4</v>
      </c>
      <c r="F26" s="2">
        <v>5</v>
      </c>
      <c r="G26" s="2">
        <v>3</v>
      </c>
      <c r="H26" s="2">
        <v>3</v>
      </c>
      <c r="I26" s="2">
        <v>4</v>
      </c>
      <c r="J26" s="2">
        <v>3</v>
      </c>
      <c r="K26" s="2">
        <v>4</v>
      </c>
      <c r="L26" s="2">
        <f t="shared" si="0"/>
        <v>26</v>
      </c>
      <c r="M26" s="2" t="str">
        <f t="shared" si="1"/>
        <v>High</v>
      </c>
      <c r="N26" s="2" t="s">
        <v>387</v>
      </c>
    </row>
    <row r="27" spans="1:14" ht="27.6" x14ac:dyDescent="0.3">
      <c r="A27" s="2" t="s">
        <v>44</v>
      </c>
      <c r="B27" s="2" t="s">
        <v>32</v>
      </c>
      <c r="C27" s="2" t="s">
        <v>46</v>
      </c>
      <c r="D27" s="2" t="s">
        <v>47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f t="shared" si="0"/>
        <v>35</v>
      </c>
      <c r="M27" s="2" t="str">
        <f t="shared" si="1"/>
        <v>Critical</v>
      </c>
      <c r="N27" s="2" t="s">
        <v>387</v>
      </c>
    </row>
    <row r="28" spans="1:14" ht="27.6" x14ac:dyDescent="0.3">
      <c r="A28" s="2" t="s">
        <v>50</v>
      </c>
      <c r="B28" s="2" t="s">
        <v>32</v>
      </c>
      <c r="C28" s="2" t="s">
        <v>52</v>
      </c>
      <c r="D28" s="2" t="s">
        <v>53</v>
      </c>
      <c r="E28" s="2">
        <v>5</v>
      </c>
      <c r="F28" s="2">
        <v>5</v>
      </c>
      <c r="G28" s="2">
        <v>5</v>
      </c>
      <c r="H28" s="2">
        <v>5</v>
      </c>
      <c r="I28" s="2">
        <v>4</v>
      </c>
      <c r="J28" s="2">
        <v>5</v>
      </c>
      <c r="K28" s="2">
        <v>5</v>
      </c>
      <c r="L28" s="2">
        <f t="shared" si="0"/>
        <v>34</v>
      </c>
      <c r="M28" s="2" t="str">
        <f t="shared" si="1"/>
        <v>Critical</v>
      </c>
      <c r="N28" s="2" t="s">
        <v>387</v>
      </c>
    </row>
    <row r="29" spans="1:14" ht="27.6" x14ac:dyDescent="0.3">
      <c r="A29" s="2" t="s">
        <v>54</v>
      </c>
      <c r="B29" s="2" t="s">
        <v>32</v>
      </c>
      <c r="C29" s="2" t="s">
        <v>56</v>
      </c>
      <c r="D29" s="2" t="s">
        <v>57</v>
      </c>
      <c r="E29" s="2">
        <v>5</v>
      </c>
      <c r="F29" s="2">
        <v>5</v>
      </c>
      <c r="G29" s="2">
        <v>5</v>
      </c>
      <c r="H29" s="2">
        <v>5</v>
      </c>
      <c r="I29" s="2">
        <v>4</v>
      </c>
      <c r="J29" s="2">
        <v>5</v>
      </c>
      <c r="K29" s="2">
        <v>5</v>
      </c>
      <c r="L29" s="2">
        <f t="shared" si="0"/>
        <v>34</v>
      </c>
      <c r="M29" s="2" t="str">
        <f t="shared" si="1"/>
        <v>Critical</v>
      </c>
      <c r="N29" s="2" t="s">
        <v>387</v>
      </c>
    </row>
    <row r="30" spans="1:14" ht="27.6" x14ac:dyDescent="0.3">
      <c r="A30" s="2" t="s">
        <v>297</v>
      </c>
      <c r="B30" s="2" t="s">
        <v>30</v>
      </c>
      <c r="C30" s="2" t="s">
        <v>300</v>
      </c>
      <c r="D30" s="2" t="s">
        <v>237</v>
      </c>
      <c r="E30" s="2">
        <v>5</v>
      </c>
      <c r="F30" s="2">
        <v>5</v>
      </c>
      <c r="G30" s="2">
        <v>3</v>
      </c>
      <c r="H30" s="2">
        <v>3</v>
      </c>
      <c r="I30" s="2">
        <v>4</v>
      </c>
      <c r="J30" s="2">
        <v>3</v>
      </c>
      <c r="K30" s="2">
        <v>4</v>
      </c>
      <c r="L30" s="2">
        <f t="shared" si="0"/>
        <v>27</v>
      </c>
      <c r="M30" s="2" t="str">
        <f t="shared" si="1"/>
        <v>High</v>
      </c>
      <c r="N30" s="2" t="s">
        <v>387</v>
      </c>
    </row>
    <row r="31" spans="1:14" ht="27.6" x14ac:dyDescent="0.3">
      <c r="A31" s="2" t="s">
        <v>304</v>
      </c>
      <c r="B31" s="2" t="s">
        <v>30</v>
      </c>
      <c r="C31" s="2" t="s">
        <v>307</v>
      </c>
      <c r="D31" s="2" t="s">
        <v>88</v>
      </c>
      <c r="E31" s="2">
        <v>4</v>
      </c>
      <c r="F31" s="2">
        <v>5</v>
      </c>
      <c r="G31" s="2">
        <v>3</v>
      </c>
      <c r="H31" s="2">
        <v>3</v>
      </c>
      <c r="I31" s="2">
        <v>4</v>
      </c>
      <c r="J31" s="2">
        <v>3</v>
      </c>
      <c r="K31" s="2">
        <v>4</v>
      </c>
      <c r="L31" s="2">
        <f t="shared" si="0"/>
        <v>26</v>
      </c>
      <c r="M31" s="2" t="str">
        <f t="shared" si="1"/>
        <v>High</v>
      </c>
      <c r="N31" s="2" t="s">
        <v>387</v>
      </c>
    </row>
    <row r="32" spans="1:14" ht="27.6" x14ac:dyDescent="0.3">
      <c r="A32" s="2" t="s">
        <v>311</v>
      </c>
      <c r="B32" s="2" t="s">
        <v>26</v>
      </c>
      <c r="C32" s="2" t="s">
        <v>312</v>
      </c>
      <c r="D32" s="2" t="s">
        <v>237</v>
      </c>
      <c r="E32" s="2">
        <v>4</v>
      </c>
      <c r="F32" s="2">
        <v>5</v>
      </c>
      <c r="G32" s="2">
        <v>3</v>
      </c>
      <c r="H32" s="2">
        <v>3</v>
      </c>
      <c r="I32" s="2">
        <v>4</v>
      </c>
      <c r="J32" s="2">
        <v>3</v>
      </c>
      <c r="K32" s="2">
        <v>5</v>
      </c>
      <c r="L32" s="2">
        <f t="shared" si="0"/>
        <v>27</v>
      </c>
      <c r="M32" s="2" t="str">
        <f t="shared" si="1"/>
        <v>High</v>
      </c>
      <c r="N32" s="2" t="s">
        <v>387</v>
      </c>
    </row>
    <row r="33" spans="1:14" ht="27.6" x14ac:dyDescent="0.3">
      <c r="A33" s="2" t="s">
        <v>319</v>
      </c>
      <c r="B33" s="2" t="s">
        <v>26</v>
      </c>
      <c r="C33" s="2" t="s">
        <v>320</v>
      </c>
      <c r="D33" s="2" t="s">
        <v>322</v>
      </c>
      <c r="E33" s="2">
        <v>4</v>
      </c>
      <c r="F33" s="2">
        <v>5</v>
      </c>
      <c r="G33" s="2">
        <v>3</v>
      </c>
      <c r="H33" s="2">
        <v>3</v>
      </c>
      <c r="I33" s="2">
        <v>4</v>
      </c>
      <c r="J33" s="2">
        <v>3</v>
      </c>
      <c r="K33" s="2">
        <v>5</v>
      </c>
      <c r="L33" s="2">
        <f t="shared" si="0"/>
        <v>27</v>
      </c>
      <c r="M33" s="2" t="str">
        <f t="shared" si="1"/>
        <v>High</v>
      </c>
      <c r="N33" s="2" t="s">
        <v>387</v>
      </c>
    </row>
    <row r="34" spans="1:14" ht="27.6" x14ac:dyDescent="0.3">
      <c r="A34" s="2" t="s">
        <v>327</v>
      </c>
      <c r="B34" s="2" t="s">
        <v>26</v>
      </c>
      <c r="C34" s="2" t="s">
        <v>328</v>
      </c>
      <c r="D34" s="2" t="s">
        <v>330</v>
      </c>
      <c r="E34" s="2">
        <v>4</v>
      </c>
      <c r="F34" s="2">
        <v>5</v>
      </c>
      <c r="G34" s="2">
        <v>3</v>
      </c>
      <c r="H34" s="2">
        <v>3</v>
      </c>
      <c r="I34" s="2">
        <v>4</v>
      </c>
      <c r="J34" s="2">
        <v>3</v>
      </c>
      <c r="K34" s="2">
        <v>4</v>
      </c>
      <c r="L34" s="2">
        <f t="shared" si="0"/>
        <v>26</v>
      </c>
      <c r="M34" s="2" t="str">
        <f t="shared" si="1"/>
        <v>High</v>
      </c>
      <c r="N34" s="2" t="s">
        <v>387</v>
      </c>
    </row>
    <row r="35" spans="1:14" x14ac:dyDescent="0.3">
      <c r="A35" s="2" t="s">
        <v>335</v>
      </c>
      <c r="B35" s="2" t="s">
        <v>26</v>
      </c>
      <c r="C35" s="2" t="s">
        <v>336</v>
      </c>
      <c r="D35" s="2" t="s">
        <v>338</v>
      </c>
      <c r="E35" s="2">
        <v>4</v>
      </c>
      <c r="F35" s="2">
        <v>5</v>
      </c>
      <c r="G35" s="2">
        <v>3</v>
      </c>
      <c r="H35" s="2">
        <v>3</v>
      </c>
      <c r="I35" s="2">
        <v>4</v>
      </c>
      <c r="J35" s="2">
        <v>3</v>
      </c>
      <c r="K35" s="2">
        <v>3</v>
      </c>
      <c r="L35" s="2">
        <f t="shared" si="0"/>
        <v>25</v>
      </c>
      <c r="M35" s="2" t="str">
        <f t="shared" si="1"/>
        <v>Medium</v>
      </c>
      <c r="N35" s="2" t="s">
        <v>388</v>
      </c>
    </row>
    <row r="36" spans="1:14" ht="27.6" x14ac:dyDescent="0.3">
      <c r="A36" s="2" t="s">
        <v>344</v>
      </c>
      <c r="B36" s="2" t="s">
        <v>28</v>
      </c>
      <c r="C36" s="2" t="s">
        <v>347</v>
      </c>
      <c r="D36" s="2" t="s">
        <v>237</v>
      </c>
      <c r="E36" s="2">
        <v>4</v>
      </c>
      <c r="F36" s="2">
        <v>5</v>
      </c>
      <c r="G36" s="2">
        <v>3</v>
      </c>
      <c r="H36" s="2">
        <v>5</v>
      </c>
      <c r="I36" s="2">
        <v>4</v>
      </c>
      <c r="J36" s="2">
        <v>3</v>
      </c>
      <c r="K36" s="2">
        <v>5</v>
      </c>
      <c r="L36" s="2">
        <f t="shared" si="0"/>
        <v>29</v>
      </c>
      <c r="M36" s="2" t="str">
        <f t="shared" si="1"/>
        <v>High</v>
      </c>
      <c r="N36" s="2" t="s">
        <v>387</v>
      </c>
    </row>
    <row r="37" spans="1:14" ht="27.6" x14ac:dyDescent="0.3">
      <c r="A37" s="2" t="s">
        <v>351</v>
      </c>
      <c r="B37" s="2" t="s">
        <v>28</v>
      </c>
      <c r="C37" s="2" t="s">
        <v>354</v>
      </c>
      <c r="D37" s="2" t="s">
        <v>237</v>
      </c>
      <c r="E37" s="2">
        <v>4</v>
      </c>
      <c r="F37" s="2">
        <v>5</v>
      </c>
      <c r="G37" s="2">
        <v>3</v>
      </c>
      <c r="H37" s="2">
        <v>5</v>
      </c>
      <c r="I37" s="2">
        <v>4</v>
      </c>
      <c r="J37" s="2">
        <v>3</v>
      </c>
      <c r="K37" s="2">
        <v>5</v>
      </c>
      <c r="L37" s="2">
        <f t="shared" si="0"/>
        <v>29</v>
      </c>
      <c r="M37" s="2" t="str">
        <f t="shared" si="1"/>
        <v>High</v>
      </c>
      <c r="N37" s="2" t="s">
        <v>387</v>
      </c>
    </row>
    <row r="38" spans="1:14" ht="27.6" x14ac:dyDescent="0.3">
      <c r="A38" s="2" t="s">
        <v>357</v>
      </c>
      <c r="B38" s="2" t="s">
        <v>28</v>
      </c>
      <c r="C38" s="2" t="s">
        <v>360</v>
      </c>
      <c r="D38" s="2" t="s">
        <v>237</v>
      </c>
      <c r="E38" s="2">
        <v>4</v>
      </c>
      <c r="F38" s="2">
        <v>5</v>
      </c>
      <c r="G38" s="2">
        <v>3</v>
      </c>
      <c r="H38" s="2">
        <v>5</v>
      </c>
      <c r="I38" s="2">
        <v>4</v>
      </c>
      <c r="J38" s="2">
        <v>3</v>
      </c>
      <c r="K38" s="2">
        <v>4</v>
      </c>
      <c r="L38" s="2">
        <f t="shared" si="0"/>
        <v>28</v>
      </c>
      <c r="M38" s="2" t="str">
        <f t="shared" si="1"/>
        <v>High</v>
      </c>
      <c r="N38" s="2" t="s">
        <v>387</v>
      </c>
    </row>
    <row r="39" spans="1:14" ht="27.6" x14ac:dyDescent="0.3">
      <c r="A39" s="2" t="s">
        <v>362</v>
      </c>
      <c r="B39" s="2" t="s">
        <v>23</v>
      </c>
      <c r="C39" s="2" t="s">
        <v>365</v>
      </c>
      <c r="D39" s="2" t="s">
        <v>366</v>
      </c>
      <c r="E39" s="2">
        <v>4</v>
      </c>
      <c r="F39" s="2">
        <v>5</v>
      </c>
      <c r="G39" s="2">
        <v>3</v>
      </c>
      <c r="H39" s="2">
        <v>3</v>
      </c>
      <c r="I39" s="2">
        <v>4</v>
      </c>
      <c r="J39" s="2">
        <v>3</v>
      </c>
      <c r="K39" s="2">
        <v>4</v>
      </c>
      <c r="L39" s="2">
        <f t="shared" si="0"/>
        <v>26</v>
      </c>
      <c r="M39" s="2" t="str">
        <f t="shared" si="1"/>
        <v>High</v>
      </c>
      <c r="N39" s="2" t="s">
        <v>387</v>
      </c>
    </row>
    <row r="40" spans="1:14" ht="27.6" x14ac:dyDescent="0.3">
      <c r="A40" s="2" t="s">
        <v>369</v>
      </c>
      <c r="B40" s="2" t="s">
        <v>29</v>
      </c>
      <c r="C40" s="2" t="s">
        <v>372</v>
      </c>
      <c r="D40" s="2" t="s">
        <v>373</v>
      </c>
      <c r="E40" s="2">
        <v>4</v>
      </c>
      <c r="F40" s="2">
        <v>5</v>
      </c>
      <c r="G40" s="2">
        <v>3</v>
      </c>
      <c r="H40" s="2">
        <v>4</v>
      </c>
      <c r="I40" s="2">
        <v>4</v>
      </c>
      <c r="J40" s="2">
        <v>5</v>
      </c>
      <c r="K40" s="2">
        <v>4</v>
      </c>
      <c r="L40" s="2">
        <f t="shared" si="0"/>
        <v>29</v>
      </c>
      <c r="M40" s="2" t="str">
        <f t="shared" si="1"/>
        <v>High</v>
      </c>
      <c r="N40" s="2" t="s">
        <v>387</v>
      </c>
    </row>
  </sheetData>
  <mergeCells count="2">
    <mergeCell ref="A1:N1"/>
    <mergeCell ref="A2:N2"/>
  </mergeCells>
  <phoneticPr fontId="9" type="noConversion"/>
  <conditionalFormatting sqref="M5:M40">
    <cfRule type="expression" dxfId="5" priority="1">
      <formula>M5="Critical"</formula>
    </cfRule>
    <cfRule type="expression" dxfId="4" priority="2">
      <formula>M5="High"</formula>
    </cfRule>
    <cfRule type="expression" dxfId="3" priority="3">
      <formula>M5="Medium"</formula>
    </cfRule>
    <cfRule type="expression" dxfId="2" priority="4">
      <formula>M5="Low"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10" workbookViewId="0">
      <selection activeCell="I5" sqref="I5"/>
    </sheetView>
  </sheetViews>
  <sheetFormatPr defaultRowHeight="14.4" x14ac:dyDescent="0.3"/>
  <cols>
    <col min="1" max="1" width="5" customWidth="1"/>
    <col min="2" max="2" width="18" customWidth="1"/>
    <col min="3" max="3" width="16" customWidth="1"/>
    <col min="4" max="4" width="18" customWidth="1"/>
    <col min="5" max="5" width="20" customWidth="1"/>
    <col min="6" max="6" width="14" customWidth="1"/>
    <col min="7" max="7" width="18" customWidth="1"/>
    <col min="8" max="8" width="14" customWidth="1"/>
    <col min="9" max="9" width="34" customWidth="1"/>
    <col min="10" max="12" width="32" customWidth="1"/>
    <col min="13" max="13" width="22" customWidth="1"/>
    <col min="14" max="14" width="28" customWidth="1"/>
    <col min="15" max="15" width="14" customWidth="1"/>
    <col min="16" max="16" width="10" customWidth="1"/>
    <col min="17" max="20" width="12" customWidth="1"/>
    <col min="21" max="21" width="36" customWidth="1"/>
  </cols>
  <sheetData>
    <row r="1" spans="1:26" ht="24" customHeight="1" x14ac:dyDescent="0.3">
      <c r="A1" s="8" t="s">
        <v>389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7"/>
      <c r="W1" s="7"/>
      <c r="X1" s="7"/>
      <c r="Y1" s="7"/>
      <c r="Z1" s="7"/>
    </row>
    <row r="2" spans="1:26" x14ac:dyDescent="0.3">
      <c r="A2" s="10" t="s">
        <v>390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4" spans="1:26" x14ac:dyDescent="0.3">
      <c r="A4" s="1" t="s">
        <v>92</v>
      </c>
      <c r="B4" s="1" t="s">
        <v>36</v>
      </c>
      <c r="C4" s="1" t="s">
        <v>14</v>
      </c>
      <c r="D4" s="1" t="s">
        <v>391</v>
      </c>
      <c r="E4" s="1" t="s">
        <v>39</v>
      </c>
      <c r="F4" s="1" t="s">
        <v>40</v>
      </c>
      <c r="G4" s="1" t="s">
        <v>392</v>
      </c>
      <c r="H4" s="1" t="s">
        <v>41</v>
      </c>
      <c r="I4" s="1" t="s">
        <v>393</v>
      </c>
      <c r="J4" s="1" t="s">
        <v>394</v>
      </c>
      <c r="K4" s="1" t="s">
        <v>395</v>
      </c>
      <c r="L4" s="1" t="s">
        <v>396</v>
      </c>
      <c r="M4" s="1" t="s">
        <v>397</v>
      </c>
      <c r="N4" s="1" t="s">
        <v>398</v>
      </c>
      <c r="O4" s="1" t="s">
        <v>43</v>
      </c>
      <c r="P4" s="1" t="s">
        <v>399</v>
      </c>
      <c r="Q4" s="1" t="s">
        <v>400</v>
      </c>
      <c r="R4" s="1" t="s">
        <v>401</v>
      </c>
      <c r="S4" s="1" t="s">
        <v>402</v>
      </c>
      <c r="T4" s="1" t="s">
        <v>403</v>
      </c>
      <c r="U4" s="1" t="s">
        <v>404</v>
      </c>
    </row>
    <row r="5" spans="1:26" ht="27.6" x14ac:dyDescent="0.3">
      <c r="A5" s="2">
        <v>1</v>
      </c>
      <c r="B5" s="2" t="s">
        <v>108</v>
      </c>
      <c r="C5" s="2" t="s">
        <v>109</v>
      </c>
      <c r="D5" s="2" t="s">
        <v>110</v>
      </c>
      <c r="E5" s="2" t="s">
        <v>113</v>
      </c>
      <c r="F5" s="2" t="s">
        <v>114</v>
      </c>
      <c r="G5" s="2" t="s">
        <v>115</v>
      </c>
      <c r="H5" s="2" t="s">
        <v>48</v>
      </c>
      <c r="I5" s="2" t="s">
        <v>405</v>
      </c>
      <c r="J5" s="2" t="s">
        <v>406</v>
      </c>
      <c r="K5" s="2" t="s">
        <v>407</v>
      </c>
      <c r="L5" s="2" t="s">
        <v>408</v>
      </c>
      <c r="M5" s="2" t="s">
        <v>409</v>
      </c>
      <c r="N5" s="2" t="s">
        <v>410</v>
      </c>
      <c r="O5" s="2" t="s">
        <v>119</v>
      </c>
      <c r="P5" s="2" t="s">
        <v>399</v>
      </c>
      <c r="Q5" s="3">
        <v>46220</v>
      </c>
      <c r="R5" s="3">
        <v>46265</v>
      </c>
      <c r="S5" s="3"/>
      <c r="T5" s="2" t="s">
        <v>122</v>
      </c>
      <c r="U5" s="2" t="s">
        <v>124</v>
      </c>
    </row>
    <row r="6" spans="1:26" ht="27.6" x14ac:dyDescent="0.3">
      <c r="A6" s="2">
        <v>2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127</v>
      </c>
      <c r="H6" s="2" t="s">
        <v>48</v>
      </c>
      <c r="I6" s="2" t="s">
        <v>411</v>
      </c>
      <c r="J6" s="2" t="s">
        <v>406</v>
      </c>
      <c r="K6" s="2" t="s">
        <v>407</v>
      </c>
      <c r="L6" s="2" t="s">
        <v>408</v>
      </c>
      <c r="M6" s="2" t="s">
        <v>409</v>
      </c>
      <c r="N6" s="2" t="s">
        <v>410</v>
      </c>
      <c r="O6" s="2" t="s">
        <v>63</v>
      </c>
      <c r="P6" s="2" t="s">
        <v>399</v>
      </c>
      <c r="Q6" s="3">
        <v>46173</v>
      </c>
      <c r="R6" s="3">
        <v>46218</v>
      </c>
      <c r="S6" s="3"/>
      <c r="T6" s="2" t="s">
        <v>8</v>
      </c>
      <c r="U6" s="2" t="s">
        <v>133</v>
      </c>
    </row>
    <row r="7" spans="1:26" ht="27.6" x14ac:dyDescent="0.3">
      <c r="A7" s="2">
        <v>3</v>
      </c>
      <c r="B7" s="2" t="s">
        <v>64</v>
      </c>
      <c r="C7" s="2" t="s">
        <v>59</v>
      </c>
      <c r="D7" s="2" t="s">
        <v>65</v>
      </c>
      <c r="E7" s="2" t="s">
        <v>66</v>
      </c>
      <c r="F7" s="2" t="s">
        <v>67</v>
      </c>
      <c r="G7" s="2" t="s">
        <v>127</v>
      </c>
      <c r="H7" s="2" t="s">
        <v>48</v>
      </c>
      <c r="I7" s="2" t="s">
        <v>412</v>
      </c>
      <c r="J7" s="2" t="s">
        <v>406</v>
      </c>
      <c r="K7" s="2" t="s">
        <v>407</v>
      </c>
      <c r="L7" s="2" t="s">
        <v>408</v>
      </c>
      <c r="M7" s="2" t="s">
        <v>409</v>
      </c>
      <c r="N7" s="2" t="s">
        <v>410</v>
      </c>
      <c r="O7" s="2" t="s">
        <v>63</v>
      </c>
      <c r="P7" s="2" t="s">
        <v>399</v>
      </c>
      <c r="Q7" s="3">
        <v>46250</v>
      </c>
      <c r="R7" s="3">
        <v>46295</v>
      </c>
      <c r="S7" s="3"/>
      <c r="T7" s="2" t="s">
        <v>122</v>
      </c>
      <c r="U7" s="2" t="s">
        <v>137</v>
      </c>
    </row>
    <row r="8" spans="1:26" ht="27.6" x14ac:dyDescent="0.3">
      <c r="A8" s="2">
        <v>4</v>
      </c>
      <c r="B8" s="2" t="s">
        <v>78</v>
      </c>
      <c r="C8" s="2" t="s">
        <v>34</v>
      </c>
      <c r="D8" s="2" t="s">
        <v>79</v>
      </c>
      <c r="E8" s="2" t="s">
        <v>80</v>
      </c>
      <c r="F8" s="2" t="s">
        <v>81</v>
      </c>
      <c r="G8" s="2" t="s">
        <v>139</v>
      </c>
      <c r="H8" s="2" t="s">
        <v>48</v>
      </c>
      <c r="I8" s="2" t="s">
        <v>413</v>
      </c>
      <c r="J8" s="2" t="s">
        <v>406</v>
      </c>
      <c r="K8" s="2" t="s">
        <v>407</v>
      </c>
      <c r="L8" s="2" t="s">
        <v>408</v>
      </c>
      <c r="M8" s="2" t="s">
        <v>409</v>
      </c>
      <c r="N8" s="2" t="s">
        <v>410</v>
      </c>
      <c r="O8" s="2" t="s">
        <v>77</v>
      </c>
      <c r="P8" s="2" t="s">
        <v>399</v>
      </c>
      <c r="Q8" s="3">
        <v>46158</v>
      </c>
      <c r="R8" s="3">
        <v>46203</v>
      </c>
      <c r="S8" s="3"/>
      <c r="T8" s="2" t="s">
        <v>8</v>
      </c>
      <c r="U8" s="2" t="s">
        <v>143</v>
      </c>
    </row>
    <row r="9" spans="1:26" ht="27.6" x14ac:dyDescent="0.3">
      <c r="A9" s="2">
        <v>5</v>
      </c>
      <c r="B9" s="2" t="s">
        <v>82</v>
      </c>
      <c r="C9" s="2" t="s">
        <v>34</v>
      </c>
      <c r="D9" s="2" t="s">
        <v>83</v>
      </c>
      <c r="E9" s="2" t="s">
        <v>84</v>
      </c>
      <c r="F9" s="2" t="s">
        <v>85</v>
      </c>
      <c r="G9" s="2" t="s">
        <v>144</v>
      </c>
      <c r="H9" s="2" t="s">
        <v>48</v>
      </c>
      <c r="I9" s="2" t="s">
        <v>414</v>
      </c>
      <c r="J9" s="2" t="s">
        <v>406</v>
      </c>
      <c r="K9" s="2" t="s">
        <v>407</v>
      </c>
      <c r="L9" s="2" t="s">
        <v>408</v>
      </c>
      <c r="M9" s="2" t="s">
        <v>409</v>
      </c>
      <c r="N9" s="2" t="s">
        <v>410</v>
      </c>
      <c r="O9" s="2" t="s">
        <v>77</v>
      </c>
      <c r="P9" s="2" t="s">
        <v>399</v>
      </c>
      <c r="Q9" s="3">
        <v>46204</v>
      </c>
      <c r="R9" s="3">
        <v>46249</v>
      </c>
      <c r="S9" s="3"/>
      <c r="T9" s="2" t="s">
        <v>148</v>
      </c>
      <c r="U9" s="2" t="s">
        <v>149</v>
      </c>
    </row>
    <row r="10" spans="1:26" ht="27.6" x14ac:dyDescent="0.3">
      <c r="A10" s="2">
        <v>6</v>
      </c>
      <c r="B10" s="2" t="s">
        <v>86</v>
      </c>
      <c r="C10" s="2" t="s">
        <v>21</v>
      </c>
      <c r="D10" s="2" t="s">
        <v>69</v>
      </c>
      <c r="E10" s="2" t="s">
        <v>87</v>
      </c>
      <c r="F10" s="2" t="s">
        <v>88</v>
      </c>
      <c r="G10" s="2" t="s">
        <v>152</v>
      </c>
      <c r="H10" s="2" t="s">
        <v>48</v>
      </c>
      <c r="I10" s="2" t="s">
        <v>415</v>
      </c>
      <c r="J10" s="2" t="s">
        <v>406</v>
      </c>
      <c r="K10" s="2" t="s">
        <v>407</v>
      </c>
      <c r="L10" s="2" t="s">
        <v>408</v>
      </c>
      <c r="M10" s="2" t="s">
        <v>409</v>
      </c>
      <c r="N10" s="2" t="s">
        <v>410</v>
      </c>
      <c r="O10" s="2" t="s">
        <v>89</v>
      </c>
      <c r="P10" s="2" t="s">
        <v>399</v>
      </c>
      <c r="Q10" s="3">
        <v>46250</v>
      </c>
      <c r="R10" s="3">
        <v>46295</v>
      </c>
      <c r="S10" s="3"/>
      <c r="T10" s="2" t="s">
        <v>122</v>
      </c>
      <c r="U10" s="2" t="s">
        <v>156</v>
      </c>
    </row>
    <row r="11" spans="1:26" ht="27.6" x14ac:dyDescent="0.3">
      <c r="A11" s="2">
        <v>7</v>
      </c>
      <c r="B11" s="2" t="s">
        <v>157</v>
      </c>
      <c r="C11" s="2" t="s">
        <v>21</v>
      </c>
      <c r="D11" s="2" t="s">
        <v>74</v>
      </c>
      <c r="E11" s="2" t="s">
        <v>87</v>
      </c>
      <c r="F11" s="2" t="s">
        <v>88</v>
      </c>
      <c r="G11" s="2" t="s">
        <v>152</v>
      </c>
      <c r="H11" s="2" t="s">
        <v>48</v>
      </c>
      <c r="I11" s="2" t="s">
        <v>415</v>
      </c>
      <c r="J11" s="2" t="s">
        <v>406</v>
      </c>
      <c r="K11" s="2" t="s">
        <v>407</v>
      </c>
      <c r="L11" s="2" t="s">
        <v>408</v>
      </c>
      <c r="M11" s="2" t="s">
        <v>409</v>
      </c>
      <c r="N11" s="2" t="s">
        <v>410</v>
      </c>
      <c r="O11" s="2" t="s">
        <v>89</v>
      </c>
      <c r="P11" s="2" t="s">
        <v>399</v>
      </c>
      <c r="Q11" s="3">
        <v>46250</v>
      </c>
      <c r="R11" s="3">
        <v>46295</v>
      </c>
      <c r="S11" s="3"/>
      <c r="T11" s="2" t="s">
        <v>122</v>
      </c>
      <c r="U11" s="2" t="s">
        <v>160</v>
      </c>
    </row>
    <row r="12" spans="1:26" ht="27.6" x14ac:dyDescent="0.3">
      <c r="A12" s="2">
        <v>8</v>
      </c>
      <c r="B12" s="2" t="s">
        <v>68</v>
      </c>
      <c r="C12" s="2" t="s">
        <v>21</v>
      </c>
      <c r="D12" s="2" t="s">
        <v>69</v>
      </c>
      <c r="E12" s="2" t="s">
        <v>70</v>
      </c>
      <c r="F12" s="2" t="s">
        <v>71</v>
      </c>
      <c r="G12" s="2" t="s">
        <v>162</v>
      </c>
      <c r="H12" s="2" t="s">
        <v>48</v>
      </c>
      <c r="I12" s="2" t="s">
        <v>416</v>
      </c>
      <c r="J12" s="2" t="s">
        <v>406</v>
      </c>
      <c r="K12" s="2" t="s">
        <v>407</v>
      </c>
      <c r="L12" s="2" t="s">
        <v>408</v>
      </c>
      <c r="M12" s="2" t="s">
        <v>409</v>
      </c>
      <c r="N12" s="2" t="s">
        <v>410</v>
      </c>
      <c r="O12" s="2" t="s">
        <v>72</v>
      </c>
      <c r="P12" s="2" t="s">
        <v>399</v>
      </c>
      <c r="Q12" s="3">
        <v>46220</v>
      </c>
      <c r="R12" s="3">
        <v>46265</v>
      </c>
      <c r="S12" s="3"/>
      <c r="T12" s="2" t="s">
        <v>8</v>
      </c>
      <c r="U12" s="2" t="s">
        <v>165</v>
      </c>
    </row>
    <row r="13" spans="1:26" ht="27.6" x14ac:dyDescent="0.3">
      <c r="A13" s="2">
        <v>9</v>
      </c>
      <c r="B13" s="2" t="s">
        <v>73</v>
      </c>
      <c r="C13" s="2" t="s">
        <v>21</v>
      </c>
      <c r="D13" s="2" t="s">
        <v>74</v>
      </c>
      <c r="E13" s="2" t="s">
        <v>75</v>
      </c>
      <c r="F13" s="2" t="s">
        <v>76</v>
      </c>
      <c r="G13" s="2" t="s">
        <v>167</v>
      </c>
      <c r="H13" s="2" t="s">
        <v>48</v>
      </c>
      <c r="I13" s="2" t="s">
        <v>417</v>
      </c>
      <c r="J13" s="2" t="s">
        <v>406</v>
      </c>
      <c r="K13" s="2" t="s">
        <v>407</v>
      </c>
      <c r="L13" s="2" t="s">
        <v>408</v>
      </c>
      <c r="M13" s="2" t="s">
        <v>409</v>
      </c>
      <c r="N13" s="2" t="s">
        <v>410</v>
      </c>
      <c r="O13" s="2" t="s">
        <v>77</v>
      </c>
      <c r="P13" s="2" t="s">
        <v>399</v>
      </c>
      <c r="Q13" s="3">
        <v>46250</v>
      </c>
      <c r="R13" s="3">
        <v>46295</v>
      </c>
      <c r="S13" s="3"/>
      <c r="T13" s="2" t="s">
        <v>122</v>
      </c>
      <c r="U13" s="2" t="s">
        <v>169</v>
      </c>
    </row>
    <row r="14" spans="1:26" ht="27.6" x14ac:dyDescent="0.3">
      <c r="A14" s="2">
        <v>10</v>
      </c>
      <c r="B14" s="2" t="s">
        <v>170</v>
      </c>
      <c r="C14" s="2" t="s">
        <v>21</v>
      </c>
      <c r="D14" s="2" t="s">
        <v>171</v>
      </c>
      <c r="E14" s="2" t="s">
        <v>75</v>
      </c>
      <c r="F14" s="2" t="s">
        <v>173</v>
      </c>
      <c r="G14" s="2" t="s">
        <v>167</v>
      </c>
      <c r="H14" s="2" t="s">
        <v>48</v>
      </c>
      <c r="I14" s="2" t="s">
        <v>418</v>
      </c>
      <c r="J14" s="2" t="s">
        <v>406</v>
      </c>
      <c r="K14" s="2" t="s">
        <v>407</v>
      </c>
      <c r="L14" s="2" t="s">
        <v>408</v>
      </c>
      <c r="M14" s="2" t="s">
        <v>409</v>
      </c>
      <c r="N14" s="2" t="s">
        <v>410</v>
      </c>
      <c r="O14" s="2" t="s">
        <v>77</v>
      </c>
      <c r="P14" s="2" t="s">
        <v>399</v>
      </c>
      <c r="Q14" s="3">
        <v>46311</v>
      </c>
      <c r="R14" s="3">
        <v>46356</v>
      </c>
      <c r="S14" s="3"/>
      <c r="T14" s="2" t="s">
        <v>148</v>
      </c>
      <c r="U14" s="2" t="s">
        <v>175</v>
      </c>
    </row>
    <row r="15" spans="1:26" ht="27.6" x14ac:dyDescent="0.3">
      <c r="A15" s="2">
        <v>11</v>
      </c>
      <c r="B15" s="2" t="s">
        <v>176</v>
      </c>
      <c r="C15" s="2" t="s">
        <v>21</v>
      </c>
      <c r="D15" s="2" t="s">
        <v>177</v>
      </c>
      <c r="E15" s="2" t="s">
        <v>180</v>
      </c>
      <c r="F15" s="2" t="s">
        <v>181</v>
      </c>
      <c r="G15" s="2" t="s">
        <v>182</v>
      </c>
      <c r="H15" s="2" t="s">
        <v>48</v>
      </c>
      <c r="I15" s="2" t="s">
        <v>419</v>
      </c>
      <c r="J15" s="2" t="s">
        <v>406</v>
      </c>
      <c r="K15" s="2" t="s">
        <v>407</v>
      </c>
      <c r="L15" s="2" t="s">
        <v>408</v>
      </c>
      <c r="M15" s="2" t="s">
        <v>409</v>
      </c>
      <c r="N15" s="2" t="s">
        <v>410</v>
      </c>
      <c r="O15" s="2" t="s">
        <v>72</v>
      </c>
      <c r="P15" s="2" t="s">
        <v>399</v>
      </c>
      <c r="Q15" s="3">
        <v>46281</v>
      </c>
      <c r="R15" s="3">
        <v>46326</v>
      </c>
      <c r="S15" s="3"/>
      <c r="T15" s="2" t="s">
        <v>122</v>
      </c>
      <c r="U15" s="2" t="s">
        <v>186</v>
      </c>
    </row>
    <row r="16" spans="1:26" ht="27.6" x14ac:dyDescent="0.3">
      <c r="A16" s="2">
        <v>12</v>
      </c>
      <c r="B16" s="2" t="s">
        <v>187</v>
      </c>
      <c r="C16" s="2" t="s">
        <v>21</v>
      </c>
      <c r="D16" s="2" t="s">
        <v>188</v>
      </c>
      <c r="E16" s="2" t="s">
        <v>190</v>
      </c>
      <c r="F16" s="2" t="s">
        <v>191</v>
      </c>
      <c r="G16" s="2" t="s">
        <v>192</v>
      </c>
      <c r="H16" s="2" t="s">
        <v>48</v>
      </c>
      <c r="I16" s="2" t="s">
        <v>420</v>
      </c>
      <c r="J16" s="2" t="s">
        <v>406</v>
      </c>
      <c r="K16" s="2" t="s">
        <v>407</v>
      </c>
      <c r="L16" s="2" t="s">
        <v>408</v>
      </c>
      <c r="M16" s="2" t="s">
        <v>409</v>
      </c>
      <c r="N16" s="2" t="s">
        <v>410</v>
      </c>
      <c r="O16" s="2" t="s">
        <v>72</v>
      </c>
      <c r="P16" s="2" t="s">
        <v>399</v>
      </c>
      <c r="Q16" s="3">
        <v>46281</v>
      </c>
      <c r="R16" s="3">
        <v>46326</v>
      </c>
      <c r="S16" s="3"/>
      <c r="T16" s="2" t="s">
        <v>122</v>
      </c>
      <c r="U16" s="2" t="s">
        <v>195</v>
      </c>
    </row>
    <row r="17" spans="1:21" ht="27.6" x14ac:dyDescent="0.3">
      <c r="A17" s="2">
        <v>13</v>
      </c>
      <c r="B17" s="2" t="s">
        <v>196</v>
      </c>
      <c r="C17" s="2" t="s">
        <v>21</v>
      </c>
      <c r="D17" s="2" t="s">
        <v>197</v>
      </c>
      <c r="E17" s="2" t="s">
        <v>199</v>
      </c>
      <c r="F17" s="2" t="s">
        <v>200</v>
      </c>
      <c r="G17" s="2" t="s">
        <v>201</v>
      </c>
      <c r="H17" s="2" t="s">
        <v>48</v>
      </c>
      <c r="I17" s="2" t="s">
        <v>421</v>
      </c>
      <c r="J17" s="2" t="s">
        <v>406</v>
      </c>
      <c r="K17" s="2" t="s">
        <v>407</v>
      </c>
      <c r="L17" s="2" t="s">
        <v>408</v>
      </c>
      <c r="M17" s="2" t="s">
        <v>409</v>
      </c>
      <c r="N17" s="2" t="s">
        <v>410</v>
      </c>
      <c r="O17" s="2" t="s">
        <v>72</v>
      </c>
      <c r="P17" s="2" t="s">
        <v>399</v>
      </c>
      <c r="Q17" s="3">
        <v>46342</v>
      </c>
      <c r="R17" s="3">
        <v>46387</v>
      </c>
      <c r="S17" s="3"/>
      <c r="T17" s="2" t="s">
        <v>148</v>
      </c>
      <c r="U17" s="2" t="s">
        <v>204</v>
      </c>
    </row>
    <row r="18" spans="1:21" ht="27.6" x14ac:dyDescent="0.3">
      <c r="A18" s="2">
        <v>14</v>
      </c>
      <c r="B18" s="2" t="s">
        <v>205</v>
      </c>
      <c r="C18" s="2" t="s">
        <v>25</v>
      </c>
      <c r="D18" s="2" t="s">
        <v>206</v>
      </c>
      <c r="E18" s="2" t="s">
        <v>209</v>
      </c>
      <c r="F18" s="2" t="s">
        <v>210</v>
      </c>
      <c r="G18" s="2" t="s">
        <v>211</v>
      </c>
      <c r="H18" s="2" t="s">
        <v>216</v>
      </c>
      <c r="I18" s="2" t="s">
        <v>422</v>
      </c>
      <c r="J18" s="2" t="s">
        <v>406</v>
      </c>
      <c r="K18" s="2" t="s">
        <v>407</v>
      </c>
      <c r="L18" s="2" t="s">
        <v>408</v>
      </c>
      <c r="M18" s="2" t="s">
        <v>423</v>
      </c>
      <c r="N18" s="2" t="s">
        <v>424</v>
      </c>
      <c r="O18" s="2" t="s">
        <v>213</v>
      </c>
      <c r="P18" s="2" t="s">
        <v>399</v>
      </c>
      <c r="Q18" s="3">
        <v>46342</v>
      </c>
      <c r="R18" s="3">
        <v>46387</v>
      </c>
      <c r="S18" s="3"/>
      <c r="T18" s="2" t="s">
        <v>122</v>
      </c>
      <c r="U18" s="2" t="s">
        <v>217</v>
      </c>
    </row>
    <row r="19" spans="1:21" ht="27.6" x14ac:dyDescent="0.3">
      <c r="A19" s="2">
        <v>15</v>
      </c>
      <c r="B19" s="2" t="s">
        <v>218</v>
      </c>
      <c r="C19" s="2" t="s">
        <v>25</v>
      </c>
      <c r="D19" s="2" t="s">
        <v>219</v>
      </c>
      <c r="E19" s="2" t="s">
        <v>209</v>
      </c>
      <c r="F19" s="2" t="s">
        <v>210</v>
      </c>
      <c r="G19" s="2" t="s">
        <v>211</v>
      </c>
      <c r="H19" s="2" t="s">
        <v>216</v>
      </c>
      <c r="I19" s="2" t="s">
        <v>422</v>
      </c>
      <c r="J19" s="2" t="s">
        <v>406</v>
      </c>
      <c r="K19" s="2" t="s">
        <v>407</v>
      </c>
      <c r="L19" s="2" t="s">
        <v>408</v>
      </c>
      <c r="M19" s="2" t="s">
        <v>423</v>
      </c>
      <c r="N19" s="2" t="s">
        <v>424</v>
      </c>
      <c r="O19" s="2" t="s">
        <v>213</v>
      </c>
      <c r="P19" s="2" t="s">
        <v>399</v>
      </c>
      <c r="Q19" s="3">
        <v>46342</v>
      </c>
      <c r="R19" s="3">
        <v>46387</v>
      </c>
      <c r="S19" s="3"/>
      <c r="T19" s="2" t="s">
        <v>122</v>
      </c>
      <c r="U19" s="2" t="s">
        <v>222</v>
      </c>
    </row>
    <row r="20" spans="1:21" ht="27.6" x14ac:dyDescent="0.3">
      <c r="A20" s="2">
        <v>16</v>
      </c>
      <c r="B20" s="2" t="s">
        <v>223</v>
      </c>
      <c r="C20" s="2" t="s">
        <v>25</v>
      </c>
      <c r="D20" s="2" t="s">
        <v>224</v>
      </c>
      <c r="E20" s="2" t="s">
        <v>226</v>
      </c>
      <c r="F20" s="2" t="s">
        <v>227</v>
      </c>
      <c r="G20" s="2" t="s">
        <v>228</v>
      </c>
      <c r="H20" s="2" t="s">
        <v>48</v>
      </c>
      <c r="I20" s="2" t="s">
        <v>425</v>
      </c>
      <c r="J20" s="2" t="s">
        <v>406</v>
      </c>
      <c r="K20" s="2" t="s">
        <v>407</v>
      </c>
      <c r="L20" s="2" t="s">
        <v>408</v>
      </c>
      <c r="M20" s="2" t="s">
        <v>409</v>
      </c>
      <c r="N20" s="2" t="s">
        <v>410</v>
      </c>
      <c r="O20" s="2" t="s">
        <v>72</v>
      </c>
      <c r="P20" s="2" t="s">
        <v>399</v>
      </c>
      <c r="Q20" s="3">
        <v>46220</v>
      </c>
      <c r="R20" s="3">
        <v>46265</v>
      </c>
      <c r="S20" s="3"/>
      <c r="T20" s="2" t="s">
        <v>8</v>
      </c>
      <c r="U20" s="2" t="s">
        <v>231</v>
      </c>
    </row>
    <row r="21" spans="1:21" ht="27.6" x14ac:dyDescent="0.3">
      <c r="A21" s="2">
        <v>17</v>
      </c>
      <c r="B21" s="2" t="s">
        <v>232</v>
      </c>
      <c r="C21" s="2" t="s">
        <v>27</v>
      </c>
      <c r="D21" s="2" t="s">
        <v>233</v>
      </c>
      <c r="E21" s="2" t="s">
        <v>236</v>
      </c>
      <c r="F21" s="2" t="s">
        <v>237</v>
      </c>
      <c r="G21" s="2" t="s">
        <v>115</v>
      </c>
      <c r="H21" s="2" t="s">
        <v>48</v>
      </c>
      <c r="I21" s="2" t="s">
        <v>426</v>
      </c>
      <c r="J21" s="2" t="s">
        <v>406</v>
      </c>
      <c r="K21" s="2" t="s">
        <v>407</v>
      </c>
      <c r="L21" s="2" t="s">
        <v>408</v>
      </c>
      <c r="M21" s="2" t="s">
        <v>409</v>
      </c>
      <c r="N21" s="2" t="s">
        <v>410</v>
      </c>
      <c r="O21" s="2" t="s">
        <v>239</v>
      </c>
      <c r="P21" s="2" t="s">
        <v>399</v>
      </c>
      <c r="Q21" s="3">
        <v>46235</v>
      </c>
      <c r="R21" s="3">
        <v>46280</v>
      </c>
      <c r="S21" s="3"/>
      <c r="T21" s="2" t="s">
        <v>122</v>
      </c>
      <c r="U21" s="2" t="s">
        <v>241</v>
      </c>
    </row>
    <row r="22" spans="1:21" ht="27.6" x14ac:dyDescent="0.3">
      <c r="A22" s="2">
        <v>18</v>
      </c>
      <c r="B22" s="2" t="s">
        <v>242</v>
      </c>
      <c r="C22" s="2" t="s">
        <v>27</v>
      </c>
      <c r="D22" s="2" t="s">
        <v>243</v>
      </c>
      <c r="E22" s="2" t="s">
        <v>245</v>
      </c>
      <c r="F22" s="2" t="s">
        <v>246</v>
      </c>
      <c r="G22" s="2" t="s">
        <v>115</v>
      </c>
      <c r="H22" s="2" t="s">
        <v>48</v>
      </c>
      <c r="I22" s="2" t="s">
        <v>427</v>
      </c>
      <c r="J22" s="2" t="s">
        <v>406</v>
      </c>
      <c r="K22" s="2" t="s">
        <v>407</v>
      </c>
      <c r="L22" s="2" t="s">
        <v>408</v>
      </c>
      <c r="M22" s="2" t="s">
        <v>409</v>
      </c>
      <c r="N22" s="2" t="s">
        <v>410</v>
      </c>
      <c r="O22" s="2" t="s">
        <v>239</v>
      </c>
      <c r="P22" s="2" t="s">
        <v>399</v>
      </c>
      <c r="Q22" s="3">
        <v>46281</v>
      </c>
      <c r="R22" s="3">
        <v>46326</v>
      </c>
      <c r="S22" s="3"/>
      <c r="T22" s="2" t="s">
        <v>148</v>
      </c>
      <c r="U22" s="2" t="s">
        <v>248</v>
      </c>
    </row>
    <row r="23" spans="1:21" ht="27.6" x14ac:dyDescent="0.3">
      <c r="A23" s="2">
        <v>19</v>
      </c>
      <c r="B23" s="2" t="s">
        <v>249</v>
      </c>
      <c r="C23" s="2" t="s">
        <v>31</v>
      </c>
      <c r="D23" s="2" t="s">
        <v>250</v>
      </c>
      <c r="E23" s="2" t="s">
        <v>252</v>
      </c>
      <c r="F23" s="2" t="s">
        <v>253</v>
      </c>
      <c r="G23" s="2" t="s">
        <v>254</v>
      </c>
      <c r="H23" s="2" t="s">
        <v>48</v>
      </c>
      <c r="I23" s="2" t="s">
        <v>428</v>
      </c>
      <c r="J23" s="2" t="s">
        <v>406</v>
      </c>
      <c r="K23" s="2" t="s">
        <v>407</v>
      </c>
      <c r="L23" s="2" t="s">
        <v>408</v>
      </c>
      <c r="M23" s="2" t="s">
        <v>409</v>
      </c>
      <c r="N23" s="2" t="s">
        <v>410</v>
      </c>
      <c r="O23" s="2" t="s">
        <v>256</v>
      </c>
      <c r="P23" s="2" t="s">
        <v>399</v>
      </c>
      <c r="Q23" s="3">
        <v>46250</v>
      </c>
      <c r="R23" s="3">
        <v>46295</v>
      </c>
      <c r="S23" s="3"/>
      <c r="T23" s="2" t="s">
        <v>8</v>
      </c>
      <c r="U23" s="2" t="s">
        <v>259</v>
      </c>
    </row>
    <row r="24" spans="1:21" ht="27.6" x14ac:dyDescent="0.3">
      <c r="A24" s="2">
        <v>20</v>
      </c>
      <c r="B24" s="2" t="s">
        <v>260</v>
      </c>
      <c r="C24" s="2" t="s">
        <v>31</v>
      </c>
      <c r="D24" s="2" t="s">
        <v>261</v>
      </c>
      <c r="E24" s="2" t="s">
        <v>263</v>
      </c>
      <c r="F24" s="2" t="s">
        <v>264</v>
      </c>
      <c r="G24" s="2" t="s">
        <v>115</v>
      </c>
      <c r="H24" s="2" t="s">
        <v>48</v>
      </c>
      <c r="I24" s="2" t="s">
        <v>429</v>
      </c>
      <c r="J24" s="2" t="s">
        <v>406</v>
      </c>
      <c r="K24" s="2" t="s">
        <v>407</v>
      </c>
      <c r="L24" s="2" t="s">
        <v>408</v>
      </c>
      <c r="M24" s="2" t="s">
        <v>409</v>
      </c>
      <c r="N24" s="2" t="s">
        <v>410</v>
      </c>
      <c r="O24" s="2" t="s">
        <v>266</v>
      </c>
      <c r="P24" s="2" t="s">
        <v>399</v>
      </c>
      <c r="Q24" s="3">
        <v>46265</v>
      </c>
      <c r="R24" s="3">
        <v>46310</v>
      </c>
      <c r="S24" s="3"/>
      <c r="T24" s="2" t="s">
        <v>122</v>
      </c>
      <c r="U24" s="2" t="s">
        <v>267</v>
      </c>
    </row>
    <row r="25" spans="1:21" ht="27.6" x14ac:dyDescent="0.3">
      <c r="A25" s="2">
        <v>21</v>
      </c>
      <c r="B25" s="2" t="s">
        <v>268</v>
      </c>
      <c r="C25" s="2" t="s">
        <v>24</v>
      </c>
      <c r="D25" s="2" t="s">
        <v>269</v>
      </c>
      <c r="E25" s="2" t="s">
        <v>272</v>
      </c>
      <c r="F25" s="2" t="s">
        <v>237</v>
      </c>
      <c r="G25" s="2" t="s">
        <v>115</v>
      </c>
      <c r="H25" s="2" t="s">
        <v>48</v>
      </c>
      <c r="I25" s="2" t="s">
        <v>430</v>
      </c>
      <c r="J25" s="2" t="s">
        <v>406</v>
      </c>
      <c r="K25" s="2" t="s">
        <v>407</v>
      </c>
      <c r="L25" s="2" t="s">
        <v>408</v>
      </c>
      <c r="M25" s="2" t="s">
        <v>409</v>
      </c>
      <c r="N25" s="2" t="s">
        <v>410</v>
      </c>
      <c r="O25" s="2" t="s">
        <v>274</v>
      </c>
      <c r="P25" s="2" t="s">
        <v>399</v>
      </c>
      <c r="Q25" s="3">
        <v>46311</v>
      </c>
      <c r="R25" s="3">
        <v>46356</v>
      </c>
      <c r="S25" s="3"/>
      <c r="T25" s="2" t="s">
        <v>148</v>
      </c>
      <c r="U25" s="2" t="s">
        <v>277</v>
      </c>
    </row>
    <row r="26" spans="1:21" ht="27.6" x14ac:dyDescent="0.3">
      <c r="A26" s="2">
        <v>22</v>
      </c>
      <c r="B26" s="2" t="s">
        <v>278</v>
      </c>
      <c r="C26" s="2" t="s">
        <v>22</v>
      </c>
      <c r="D26" s="2" t="s">
        <v>279</v>
      </c>
      <c r="E26" s="2" t="s">
        <v>282</v>
      </c>
      <c r="F26" s="2" t="s">
        <v>283</v>
      </c>
      <c r="G26" s="2" t="s">
        <v>115</v>
      </c>
      <c r="H26" s="2" t="s">
        <v>48</v>
      </c>
      <c r="I26" s="2" t="s">
        <v>431</v>
      </c>
      <c r="J26" s="2" t="s">
        <v>406</v>
      </c>
      <c r="K26" s="2" t="s">
        <v>407</v>
      </c>
      <c r="L26" s="2" t="s">
        <v>408</v>
      </c>
      <c r="M26" s="2" t="s">
        <v>409</v>
      </c>
      <c r="N26" s="2" t="s">
        <v>410</v>
      </c>
      <c r="O26" s="2" t="s">
        <v>285</v>
      </c>
      <c r="P26" s="2" t="s">
        <v>399</v>
      </c>
      <c r="Q26" s="3">
        <v>46250</v>
      </c>
      <c r="R26" s="3">
        <v>46295</v>
      </c>
      <c r="S26" s="3"/>
      <c r="T26" s="2" t="s">
        <v>122</v>
      </c>
      <c r="U26" s="2" t="s">
        <v>286</v>
      </c>
    </row>
  </sheetData>
  <mergeCells count="2">
    <mergeCell ref="A1:U1"/>
    <mergeCell ref="A2:U2"/>
  </mergeCells>
  <phoneticPr fontId="9" type="noConversion"/>
  <conditionalFormatting sqref="T5:T26">
    <cfRule type="expression" dxfId="1" priority="1">
      <formula>T5="진행중"</formula>
    </cfRule>
    <cfRule type="expression" dxfId="0" priority="2">
      <formula>T5="계획수립"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workbookViewId="0">
      <selection sqref="A1:T1"/>
    </sheetView>
  </sheetViews>
  <sheetFormatPr defaultRowHeight="14.4" x14ac:dyDescent="0.3"/>
  <cols>
    <col min="1" max="1" width="18" customWidth="1"/>
    <col min="2" max="2" width="12" customWidth="1"/>
    <col min="3" max="3" width="14" customWidth="1"/>
    <col min="4" max="4" width="10" customWidth="1"/>
    <col min="5" max="6" width="18" customWidth="1"/>
    <col min="7" max="7" width="20" customWidth="1"/>
    <col min="8" max="8" width="14" customWidth="1"/>
    <col min="9" max="9" width="12" customWidth="1"/>
    <col min="10" max="10" width="10" customWidth="1"/>
    <col min="11" max="11" width="24" customWidth="1"/>
    <col min="12" max="13" width="34" customWidth="1"/>
    <col min="14" max="14" width="36" customWidth="1"/>
    <col min="15" max="15" width="34" customWidth="1"/>
    <col min="16" max="16" width="14" customWidth="1"/>
    <col min="17" max="17" width="10" customWidth="1"/>
    <col min="18" max="18" width="28" customWidth="1"/>
    <col min="19" max="19" width="12" customWidth="1"/>
    <col min="20" max="20" width="28" customWidth="1"/>
  </cols>
  <sheetData>
    <row r="1" spans="1:26" ht="24" customHeight="1" x14ac:dyDescent="0.3">
      <c r="A1" s="8" t="s">
        <v>432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7"/>
      <c r="V1" s="7"/>
      <c r="W1" s="7"/>
      <c r="X1" s="7"/>
      <c r="Y1" s="7"/>
      <c r="Z1" s="7"/>
    </row>
    <row r="2" spans="1:26" x14ac:dyDescent="0.3">
      <c r="A2" s="10" t="s">
        <v>433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4" spans="1:26" x14ac:dyDescent="0.3">
      <c r="A4" s="1" t="s">
        <v>434</v>
      </c>
      <c r="B4" s="1" t="s">
        <v>435</v>
      </c>
      <c r="C4" s="1" t="s">
        <v>436</v>
      </c>
      <c r="D4" s="1" t="s">
        <v>437</v>
      </c>
      <c r="E4" s="1" t="s">
        <v>391</v>
      </c>
      <c r="F4" s="1" t="s">
        <v>36</v>
      </c>
      <c r="G4" s="1" t="s">
        <v>39</v>
      </c>
      <c r="H4" s="1" t="s">
        <v>40</v>
      </c>
      <c r="I4" s="1" t="s">
        <v>100</v>
      </c>
      <c r="J4" s="1" t="s">
        <v>12</v>
      </c>
      <c r="K4" s="1" t="s">
        <v>438</v>
      </c>
      <c r="L4" s="1" t="s">
        <v>439</v>
      </c>
      <c r="M4" s="1" t="s">
        <v>440</v>
      </c>
      <c r="N4" s="1" t="s">
        <v>441</v>
      </c>
      <c r="O4" s="1" t="s">
        <v>442</v>
      </c>
      <c r="P4" s="1" t="s">
        <v>443</v>
      </c>
      <c r="Q4" s="1" t="s">
        <v>444</v>
      </c>
      <c r="R4" s="1" t="s">
        <v>445</v>
      </c>
      <c r="S4" s="1" t="s">
        <v>446</v>
      </c>
      <c r="T4" s="1" t="s">
        <v>447</v>
      </c>
    </row>
    <row r="5" spans="1:26" ht="41.4" x14ac:dyDescent="0.3">
      <c r="A5" s="2" t="s">
        <v>448</v>
      </c>
      <c r="B5" s="3">
        <v>46183</v>
      </c>
      <c r="C5" s="2" t="s">
        <v>119</v>
      </c>
      <c r="D5" s="2" t="s">
        <v>399</v>
      </c>
      <c r="E5" s="2" t="s">
        <v>110</v>
      </c>
      <c r="F5" s="2" t="s">
        <v>108</v>
      </c>
      <c r="G5" s="2" t="s">
        <v>113</v>
      </c>
      <c r="H5" s="2" t="s">
        <v>114</v>
      </c>
      <c r="I5" s="3">
        <v>46295</v>
      </c>
      <c r="J5" s="2" t="s">
        <v>5</v>
      </c>
      <c r="K5" s="2" t="s">
        <v>449</v>
      </c>
      <c r="L5" s="2" t="s">
        <v>450</v>
      </c>
      <c r="M5" s="2" t="s">
        <v>451</v>
      </c>
      <c r="N5" s="2" t="s">
        <v>452</v>
      </c>
      <c r="O5" s="2" t="s">
        <v>453</v>
      </c>
      <c r="P5" s="3">
        <v>46265</v>
      </c>
      <c r="Q5" s="2" t="s">
        <v>454</v>
      </c>
      <c r="R5" s="2" t="s">
        <v>455</v>
      </c>
      <c r="S5" s="2" t="s">
        <v>456</v>
      </c>
      <c r="T5" s="2" t="s">
        <v>457</v>
      </c>
    </row>
    <row r="6" spans="1:26" ht="41.4" x14ac:dyDescent="0.3">
      <c r="A6" s="2" t="s">
        <v>458</v>
      </c>
      <c r="B6" s="3">
        <v>46183</v>
      </c>
      <c r="C6" s="2" t="s">
        <v>77</v>
      </c>
      <c r="D6" s="2" t="s">
        <v>399</v>
      </c>
      <c r="E6" s="2" t="s">
        <v>79</v>
      </c>
      <c r="F6" s="2" t="s">
        <v>78</v>
      </c>
      <c r="G6" s="2" t="s">
        <v>80</v>
      </c>
      <c r="H6" s="2" t="s">
        <v>81</v>
      </c>
      <c r="I6" s="3">
        <v>46203</v>
      </c>
      <c r="J6" s="2" t="s">
        <v>5</v>
      </c>
      <c r="K6" s="2" t="s">
        <v>459</v>
      </c>
      <c r="L6" s="2" t="s">
        <v>450</v>
      </c>
      <c r="M6" s="2" t="s">
        <v>451</v>
      </c>
      <c r="N6" s="2" t="s">
        <v>452</v>
      </c>
      <c r="O6" s="2" t="s">
        <v>460</v>
      </c>
      <c r="P6" s="3">
        <v>46203</v>
      </c>
      <c r="Q6" s="2" t="s">
        <v>454</v>
      </c>
      <c r="R6" s="2" t="s">
        <v>455</v>
      </c>
      <c r="S6" s="2" t="s">
        <v>456</v>
      </c>
      <c r="T6" s="2" t="s">
        <v>457</v>
      </c>
    </row>
    <row r="7" spans="1:26" ht="41.4" x14ac:dyDescent="0.3">
      <c r="A7" s="2" t="s">
        <v>461</v>
      </c>
      <c r="B7" s="3">
        <v>46183</v>
      </c>
      <c r="C7" s="2" t="s">
        <v>77</v>
      </c>
      <c r="D7" s="2" t="s">
        <v>399</v>
      </c>
      <c r="E7" s="2" t="s">
        <v>83</v>
      </c>
      <c r="F7" s="2" t="s">
        <v>82</v>
      </c>
      <c r="G7" s="2" t="s">
        <v>84</v>
      </c>
      <c r="H7" s="2" t="s">
        <v>85</v>
      </c>
      <c r="I7" s="3">
        <v>46265</v>
      </c>
      <c r="J7" s="2" t="s">
        <v>5</v>
      </c>
      <c r="K7" s="2" t="s">
        <v>462</v>
      </c>
      <c r="L7" s="2" t="s">
        <v>450</v>
      </c>
      <c r="M7" s="2" t="s">
        <v>451</v>
      </c>
      <c r="N7" s="2" t="s">
        <v>452</v>
      </c>
      <c r="O7" s="2" t="s">
        <v>463</v>
      </c>
      <c r="P7" s="3">
        <v>46249</v>
      </c>
      <c r="Q7" s="2" t="s">
        <v>454</v>
      </c>
      <c r="R7" s="2" t="s">
        <v>455</v>
      </c>
      <c r="S7" s="2" t="s">
        <v>456</v>
      </c>
      <c r="T7" s="2" t="s">
        <v>457</v>
      </c>
    </row>
    <row r="8" spans="1:26" ht="41.4" x14ac:dyDescent="0.3">
      <c r="A8" s="2" t="s">
        <v>464</v>
      </c>
      <c r="B8" s="3">
        <v>46183</v>
      </c>
      <c r="C8" s="2" t="s">
        <v>89</v>
      </c>
      <c r="D8" s="2" t="s">
        <v>399</v>
      </c>
      <c r="E8" s="2" t="s">
        <v>69</v>
      </c>
      <c r="F8" s="2" t="s">
        <v>86</v>
      </c>
      <c r="G8" s="2" t="s">
        <v>87</v>
      </c>
      <c r="H8" s="2" t="s">
        <v>88</v>
      </c>
      <c r="I8" s="3">
        <v>46203</v>
      </c>
      <c r="J8" s="2" t="s">
        <v>5</v>
      </c>
      <c r="K8" s="2" t="s">
        <v>465</v>
      </c>
      <c r="L8" s="2" t="s">
        <v>450</v>
      </c>
      <c r="M8" s="2" t="s">
        <v>451</v>
      </c>
      <c r="N8" s="2" t="s">
        <v>452</v>
      </c>
      <c r="O8" s="2" t="s">
        <v>466</v>
      </c>
      <c r="P8" s="3">
        <v>46295</v>
      </c>
      <c r="Q8" s="2" t="s">
        <v>454</v>
      </c>
      <c r="R8" s="2" t="s">
        <v>455</v>
      </c>
      <c r="S8" s="2" t="s">
        <v>456</v>
      </c>
      <c r="T8" s="2" t="s">
        <v>457</v>
      </c>
    </row>
    <row r="9" spans="1:26" ht="41.4" x14ac:dyDescent="0.3">
      <c r="A9" s="2" t="s">
        <v>467</v>
      </c>
      <c r="B9" s="3">
        <v>46183</v>
      </c>
      <c r="C9" s="2" t="s">
        <v>89</v>
      </c>
      <c r="D9" s="2" t="s">
        <v>399</v>
      </c>
      <c r="E9" s="2" t="s">
        <v>74</v>
      </c>
      <c r="F9" s="2" t="s">
        <v>157</v>
      </c>
      <c r="G9" s="2" t="s">
        <v>87</v>
      </c>
      <c r="H9" s="2" t="s">
        <v>88</v>
      </c>
      <c r="I9" s="3">
        <v>46203</v>
      </c>
      <c r="J9" s="2" t="s">
        <v>6</v>
      </c>
      <c r="K9" s="2" t="s">
        <v>465</v>
      </c>
      <c r="L9" s="2" t="s">
        <v>450</v>
      </c>
      <c r="M9" s="2" t="s">
        <v>451</v>
      </c>
      <c r="N9" s="2" t="s">
        <v>452</v>
      </c>
      <c r="O9" s="2" t="s">
        <v>466</v>
      </c>
      <c r="P9" s="3">
        <v>46295</v>
      </c>
      <c r="Q9" s="2" t="s">
        <v>454</v>
      </c>
      <c r="R9" s="2" t="s">
        <v>455</v>
      </c>
      <c r="S9" s="2" t="s">
        <v>456</v>
      </c>
      <c r="T9" s="2" t="s">
        <v>457</v>
      </c>
    </row>
    <row r="10" spans="1:26" ht="41.4" x14ac:dyDescent="0.3">
      <c r="A10" s="2" t="s">
        <v>468</v>
      </c>
      <c r="B10" s="3">
        <v>46183</v>
      </c>
      <c r="C10" s="2" t="s">
        <v>72</v>
      </c>
      <c r="D10" s="2" t="s">
        <v>399</v>
      </c>
      <c r="E10" s="2" t="s">
        <v>69</v>
      </c>
      <c r="F10" s="2" t="s">
        <v>68</v>
      </c>
      <c r="G10" s="2" t="s">
        <v>70</v>
      </c>
      <c r="H10" s="2" t="s">
        <v>71</v>
      </c>
      <c r="I10" s="3">
        <v>46173</v>
      </c>
      <c r="J10" s="2" t="s">
        <v>6</v>
      </c>
      <c r="K10" s="2" t="s">
        <v>449</v>
      </c>
      <c r="L10" s="2" t="s">
        <v>450</v>
      </c>
      <c r="M10" s="2" t="s">
        <v>451</v>
      </c>
      <c r="N10" s="2" t="s">
        <v>452</v>
      </c>
      <c r="O10" s="2" t="s">
        <v>469</v>
      </c>
      <c r="P10" s="3">
        <v>46265</v>
      </c>
      <c r="Q10" s="2" t="s">
        <v>454</v>
      </c>
      <c r="R10" s="2" t="s">
        <v>455</v>
      </c>
      <c r="S10" s="2" t="s">
        <v>456</v>
      </c>
      <c r="T10" s="2" t="s">
        <v>457</v>
      </c>
    </row>
    <row r="11" spans="1:26" ht="41.4" x14ac:dyDescent="0.3">
      <c r="A11" s="2" t="s">
        <v>470</v>
      </c>
      <c r="B11" s="3">
        <v>46183</v>
      </c>
      <c r="C11" s="2" t="s">
        <v>77</v>
      </c>
      <c r="D11" s="2" t="s">
        <v>399</v>
      </c>
      <c r="E11" s="2" t="s">
        <v>74</v>
      </c>
      <c r="F11" s="2" t="s">
        <v>73</v>
      </c>
      <c r="G11" s="2" t="s">
        <v>75</v>
      </c>
      <c r="H11" s="2" t="s">
        <v>76</v>
      </c>
      <c r="I11" s="3">
        <v>46173</v>
      </c>
      <c r="J11" s="2" t="s">
        <v>6</v>
      </c>
      <c r="K11" s="2" t="s">
        <v>465</v>
      </c>
      <c r="L11" s="2" t="s">
        <v>450</v>
      </c>
      <c r="M11" s="2" t="s">
        <v>451</v>
      </c>
      <c r="N11" s="2" t="s">
        <v>452</v>
      </c>
      <c r="O11" s="2" t="s">
        <v>471</v>
      </c>
      <c r="P11" s="3">
        <v>46295</v>
      </c>
      <c r="Q11" s="2" t="s">
        <v>454</v>
      </c>
      <c r="R11" s="2" t="s">
        <v>455</v>
      </c>
      <c r="S11" s="2" t="s">
        <v>456</v>
      </c>
      <c r="T11" s="2" t="s">
        <v>457</v>
      </c>
    </row>
    <row r="12" spans="1:26" ht="41.4" x14ac:dyDescent="0.3">
      <c r="A12" s="2" t="s">
        <v>472</v>
      </c>
      <c r="B12" s="3">
        <v>46183</v>
      </c>
      <c r="C12" s="2" t="s">
        <v>72</v>
      </c>
      <c r="D12" s="2" t="s">
        <v>399</v>
      </c>
      <c r="E12" s="2" t="s">
        <v>177</v>
      </c>
      <c r="F12" s="2" t="s">
        <v>176</v>
      </c>
      <c r="G12" s="2" t="s">
        <v>180</v>
      </c>
      <c r="H12" s="2" t="s">
        <v>181</v>
      </c>
      <c r="I12" s="3">
        <v>46203</v>
      </c>
      <c r="J12" s="2" t="s">
        <v>6</v>
      </c>
      <c r="K12" s="2" t="s">
        <v>473</v>
      </c>
      <c r="L12" s="2" t="s">
        <v>450</v>
      </c>
      <c r="M12" s="2" t="s">
        <v>451</v>
      </c>
      <c r="N12" s="2" t="s">
        <v>452</v>
      </c>
      <c r="O12" s="2" t="s">
        <v>474</v>
      </c>
      <c r="P12" s="3">
        <v>46326</v>
      </c>
      <c r="Q12" s="2" t="s">
        <v>454</v>
      </c>
      <c r="R12" s="2" t="s">
        <v>455</v>
      </c>
      <c r="S12" s="2" t="s">
        <v>456</v>
      </c>
      <c r="T12" s="2" t="s">
        <v>457</v>
      </c>
    </row>
    <row r="13" spans="1:26" ht="41.4" x14ac:dyDescent="0.3">
      <c r="A13" s="2" t="s">
        <v>475</v>
      </c>
      <c r="B13" s="3">
        <v>46183</v>
      </c>
      <c r="C13" s="2" t="s">
        <v>72</v>
      </c>
      <c r="D13" s="2" t="s">
        <v>399</v>
      </c>
      <c r="E13" s="2" t="s">
        <v>188</v>
      </c>
      <c r="F13" s="2" t="s">
        <v>187</v>
      </c>
      <c r="G13" s="2" t="s">
        <v>190</v>
      </c>
      <c r="H13" s="2" t="s">
        <v>191</v>
      </c>
      <c r="I13" s="3">
        <v>46203</v>
      </c>
      <c r="J13" s="2" t="s">
        <v>6</v>
      </c>
      <c r="K13" s="2" t="s">
        <v>473</v>
      </c>
      <c r="L13" s="2" t="s">
        <v>450</v>
      </c>
      <c r="M13" s="2" t="s">
        <v>451</v>
      </c>
      <c r="N13" s="2" t="s">
        <v>452</v>
      </c>
      <c r="O13" s="2" t="s">
        <v>476</v>
      </c>
      <c r="P13" s="3">
        <v>46326</v>
      </c>
      <c r="Q13" s="2" t="s">
        <v>454</v>
      </c>
      <c r="R13" s="2" t="s">
        <v>455</v>
      </c>
      <c r="S13" s="2" t="s">
        <v>456</v>
      </c>
      <c r="T13" s="2" t="s">
        <v>457</v>
      </c>
    </row>
    <row r="14" spans="1:26" ht="41.4" x14ac:dyDescent="0.3">
      <c r="A14" s="2" t="s">
        <v>477</v>
      </c>
      <c r="B14" s="3">
        <v>46183</v>
      </c>
      <c r="C14" s="2" t="s">
        <v>213</v>
      </c>
      <c r="D14" s="2" t="s">
        <v>399</v>
      </c>
      <c r="E14" s="2" t="s">
        <v>206</v>
      </c>
      <c r="F14" s="2" t="s">
        <v>205</v>
      </c>
      <c r="G14" s="2" t="s">
        <v>209</v>
      </c>
      <c r="H14" s="2" t="s">
        <v>210</v>
      </c>
      <c r="I14" s="3">
        <v>46507</v>
      </c>
      <c r="J14" s="2" t="s">
        <v>6</v>
      </c>
      <c r="K14" s="2" t="s">
        <v>478</v>
      </c>
      <c r="L14" s="2" t="s">
        <v>450</v>
      </c>
      <c r="M14" s="2" t="s">
        <v>451</v>
      </c>
      <c r="N14" s="2" t="s">
        <v>452</v>
      </c>
      <c r="O14" s="2" t="s">
        <v>479</v>
      </c>
      <c r="P14" s="3">
        <v>46387</v>
      </c>
      <c r="Q14" s="2" t="s">
        <v>454</v>
      </c>
      <c r="R14" s="2" t="s">
        <v>455</v>
      </c>
      <c r="S14" s="2" t="s">
        <v>456</v>
      </c>
      <c r="T14" s="2" t="s">
        <v>457</v>
      </c>
    </row>
  </sheetData>
  <mergeCells count="2">
    <mergeCell ref="A1:T1"/>
    <mergeCell ref="A2:T2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Views>
    <sheetView topLeftCell="A7" workbookViewId="0">
      <selection sqref="A1:H1"/>
    </sheetView>
  </sheetViews>
  <sheetFormatPr defaultRowHeight="14.4" x14ac:dyDescent="0.3"/>
  <cols>
    <col min="1" max="1" width="8" customWidth="1"/>
    <col min="2" max="2" width="20" customWidth="1"/>
    <col min="3" max="3" width="14" customWidth="1"/>
    <col min="4" max="4" width="18" customWidth="1"/>
    <col min="5" max="5" width="22" customWidth="1"/>
    <col min="6" max="6" width="14" customWidth="1"/>
    <col min="7" max="7" width="18" customWidth="1"/>
    <col min="8" max="8" width="14" customWidth="1"/>
  </cols>
  <sheetData>
    <row r="1" spans="1:26" ht="24" customHeight="1" x14ac:dyDescent="0.3">
      <c r="A1" s="8" t="s">
        <v>480</v>
      </c>
      <c r="B1" s="9"/>
      <c r="C1" s="9"/>
      <c r="D1" s="9"/>
      <c r="E1" s="9"/>
      <c r="F1" s="9"/>
      <c r="G1" s="9"/>
      <c r="H1" s="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 x14ac:dyDescent="0.3">
      <c r="A3" s="12" t="s">
        <v>481</v>
      </c>
      <c r="B3" s="11"/>
      <c r="C3" s="11"/>
      <c r="D3" s="11"/>
      <c r="E3" s="11"/>
      <c r="F3" s="11"/>
      <c r="G3" s="11"/>
      <c r="H3" s="11"/>
    </row>
    <row r="4" spans="1:26" x14ac:dyDescent="0.3">
      <c r="A4" s="1" t="s">
        <v>482</v>
      </c>
      <c r="B4" s="1" t="s">
        <v>483</v>
      </c>
      <c r="C4" s="1" t="s">
        <v>484</v>
      </c>
      <c r="D4" s="1" t="s">
        <v>485</v>
      </c>
      <c r="E4" s="1" t="s">
        <v>20</v>
      </c>
    </row>
    <row r="5" spans="1:26" ht="41.4" x14ac:dyDescent="0.3">
      <c r="A5" s="2" t="s">
        <v>486</v>
      </c>
      <c r="B5" s="2"/>
      <c r="C5" s="2">
        <f>COUNTA('01_EOS관리대장'!$B$5:$B$500)</f>
        <v>36</v>
      </c>
      <c r="D5" s="2">
        <f t="shared" ref="D5:D11" si="0">C5-B5</f>
        <v>36</v>
      </c>
      <c r="E5" s="2"/>
    </row>
    <row r="6" spans="1:26" ht="27.6" x14ac:dyDescent="0.3">
      <c r="A6" s="2" t="s">
        <v>487</v>
      </c>
      <c r="B6" s="2"/>
      <c r="C6" s="2">
        <f ca="1">COUNTIF('01_EOS관리대장'!$T$5:$T$500,"위험")</f>
        <v>27</v>
      </c>
      <c r="D6" s="2">
        <f t="shared" ca="1" si="0"/>
        <v>27</v>
      </c>
      <c r="E6" s="2"/>
    </row>
    <row r="7" spans="1:26" x14ac:dyDescent="0.3">
      <c r="A7" s="2" t="s">
        <v>5</v>
      </c>
      <c r="B7" s="2"/>
      <c r="C7" s="2">
        <f>COUNTIF('01_EOS관리대장'!$U$5:$U$500,"Critical")</f>
        <v>7</v>
      </c>
      <c r="D7" s="2">
        <f t="shared" si="0"/>
        <v>7</v>
      </c>
      <c r="E7" s="2"/>
    </row>
    <row r="8" spans="1:26" x14ac:dyDescent="0.3">
      <c r="A8" s="2" t="s">
        <v>6</v>
      </c>
      <c r="B8" s="2"/>
      <c r="C8" s="2">
        <f>COUNTIF('01_EOS관리대장'!$U$5:$U$500,"High")</f>
        <v>28</v>
      </c>
      <c r="D8" s="2">
        <f t="shared" si="0"/>
        <v>28</v>
      </c>
      <c r="E8" s="2"/>
    </row>
    <row r="9" spans="1:26" x14ac:dyDescent="0.3">
      <c r="A9" s="2" t="s">
        <v>16</v>
      </c>
      <c r="B9" s="2"/>
      <c r="C9" s="2">
        <f>COUNTIF('01_EOS관리대장'!$U$5:$U$500,"Medium")</f>
        <v>1</v>
      </c>
      <c r="D9" s="2">
        <f t="shared" si="0"/>
        <v>1</v>
      </c>
      <c r="E9" s="2"/>
    </row>
    <row r="10" spans="1:26" ht="27.6" x14ac:dyDescent="0.3">
      <c r="A10" s="2" t="s">
        <v>488</v>
      </c>
      <c r="B10" s="2"/>
      <c r="C10" s="2">
        <f>COUNTIF('01_EOS관리대장'!$Y$5:$Y$500,"필요")</f>
        <v>19</v>
      </c>
      <c r="D10" s="2">
        <f t="shared" si="0"/>
        <v>19</v>
      </c>
      <c r="E10" s="2"/>
    </row>
    <row r="11" spans="1:26" ht="27.6" x14ac:dyDescent="0.3">
      <c r="A11" s="2" t="s">
        <v>489</v>
      </c>
      <c r="B11" s="2"/>
      <c r="C11" s="2">
        <f>COUNTIF('01_EOS관리대장'!$X$5:$X$500,"진행중")</f>
        <v>8</v>
      </c>
      <c r="D11" s="2">
        <f t="shared" si="0"/>
        <v>8</v>
      </c>
      <c r="E11" s="2"/>
    </row>
    <row r="13" spans="1:26" x14ac:dyDescent="0.3">
      <c r="A13" s="12" t="s">
        <v>490</v>
      </c>
      <c r="B13" s="11"/>
      <c r="C13" s="11"/>
      <c r="D13" s="11"/>
      <c r="E13" s="11"/>
      <c r="F13" s="11"/>
      <c r="G13" s="11"/>
      <c r="H13" s="11"/>
    </row>
    <row r="14" spans="1:26" x14ac:dyDescent="0.3">
      <c r="A14" s="1" t="s">
        <v>92</v>
      </c>
      <c r="B14" s="1" t="s">
        <v>36</v>
      </c>
      <c r="C14" s="1" t="s">
        <v>14</v>
      </c>
      <c r="D14" s="1" t="s">
        <v>391</v>
      </c>
      <c r="E14" s="1" t="s">
        <v>39</v>
      </c>
      <c r="F14" s="1" t="s">
        <v>12</v>
      </c>
      <c r="G14" s="1" t="s">
        <v>41</v>
      </c>
      <c r="H14" s="1" t="s">
        <v>42</v>
      </c>
    </row>
    <row r="15" spans="1:26" x14ac:dyDescent="0.3">
      <c r="A15" s="2">
        <v>1</v>
      </c>
      <c r="B15" s="2" t="s">
        <v>108</v>
      </c>
      <c r="C15" s="2" t="s">
        <v>109</v>
      </c>
      <c r="D15" s="2" t="s">
        <v>110</v>
      </c>
      <c r="E15" s="2" t="s">
        <v>113</v>
      </c>
      <c r="F15" s="2" t="s">
        <v>5</v>
      </c>
      <c r="G15" s="2" t="s">
        <v>48</v>
      </c>
      <c r="H15" s="3">
        <v>46265</v>
      </c>
    </row>
    <row r="16" spans="1:26" x14ac:dyDescent="0.3">
      <c r="A16" s="2">
        <v>2</v>
      </c>
      <c r="B16" s="2" t="s">
        <v>78</v>
      </c>
      <c r="C16" s="2" t="s">
        <v>34</v>
      </c>
      <c r="D16" s="2" t="s">
        <v>79</v>
      </c>
      <c r="E16" s="2" t="s">
        <v>80</v>
      </c>
      <c r="F16" s="2" t="s">
        <v>5</v>
      </c>
      <c r="G16" s="2" t="s">
        <v>48</v>
      </c>
      <c r="H16" s="3">
        <v>46203</v>
      </c>
    </row>
    <row r="17" spans="1:8" x14ac:dyDescent="0.3">
      <c r="A17" s="2">
        <v>3</v>
      </c>
      <c r="B17" s="2" t="s">
        <v>82</v>
      </c>
      <c r="C17" s="2" t="s">
        <v>34</v>
      </c>
      <c r="D17" s="2" t="s">
        <v>83</v>
      </c>
      <c r="E17" s="2" t="s">
        <v>84</v>
      </c>
      <c r="F17" s="2" t="s">
        <v>5</v>
      </c>
      <c r="G17" s="2" t="s">
        <v>48</v>
      </c>
      <c r="H17" s="3">
        <v>46249</v>
      </c>
    </row>
    <row r="18" spans="1:8" x14ac:dyDescent="0.3">
      <c r="A18" s="2">
        <v>4</v>
      </c>
      <c r="B18" s="2" t="s">
        <v>86</v>
      </c>
      <c r="C18" s="2" t="s">
        <v>21</v>
      </c>
      <c r="D18" s="2" t="s">
        <v>69</v>
      </c>
      <c r="E18" s="2" t="s">
        <v>87</v>
      </c>
      <c r="F18" s="2" t="s">
        <v>5</v>
      </c>
      <c r="G18" s="2" t="s">
        <v>48</v>
      </c>
      <c r="H18" s="3">
        <v>46295</v>
      </c>
    </row>
    <row r="19" spans="1:8" x14ac:dyDescent="0.3">
      <c r="A19" s="2">
        <v>5</v>
      </c>
      <c r="B19" s="2" t="s">
        <v>157</v>
      </c>
      <c r="C19" s="2" t="s">
        <v>21</v>
      </c>
      <c r="D19" s="2" t="s">
        <v>74</v>
      </c>
      <c r="E19" s="2" t="s">
        <v>87</v>
      </c>
      <c r="F19" s="2" t="s">
        <v>6</v>
      </c>
      <c r="G19" s="2" t="s">
        <v>48</v>
      </c>
      <c r="H19" s="3">
        <v>46295</v>
      </c>
    </row>
    <row r="20" spans="1:8" x14ac:dyDescent="0.3">
      <c r="A20" s="2">
        <v>6</v>
      </c>
      <c r="B20" s="2" t="s">
        <v>68</v>
      </c>
      <c r="C20" s="2" t="s">
        <v>21</v>
      </c>
      <c r="D20" s="2" t="s">
        <v>69</v>
      </c>
      <c r="E20" s="2" t="s">
        <v>70</v>
      </c>
      <c r="F20" s="2" t="s">
        <v>6</v>
      </c>
      <c r="G20" s="2" t="s">
        <v>48</v>
      </c>
      <c r="H20" s="3">
        <v>46265</v>
      </c>
    </row>
    <row r="21" spans="1:8" x14ac:dyDescent="0.3">
      <c r="A21" s="2">
        <v>7</v>
      </c>
      <c r="B21" s="2" t="s">
        <v>73</v>
      </c>
      <c r="C21" s="2" t="s">
        <v>21</v>
      </c>
      <c r="D21" s="2" t="s">
        <v>74</v>
      </c>
      <c r="E21" s="2" t="s">
        <v>75</v>
      </c>
      <c r="F21" s="2" t="s">
        <v>6</v>
      </c>
      <c r="G21" s="2" t="s">
        <v>48</v>
      </c>
      <c r="H21" s="3">
        <v>46295</v>
      </c>
    </row>
    <row r="22" spans="1:8" x14ac:dyDescent="0.3">
      <c r="A22" s="2">
        <v>8</v>
      </c>
      <c r="B22" s="2" t="s">
        <v>176</v>
      </c>
      <c r="C22" s="2" t="s">
        <v>21</v>
      </c>
      <c r="D22" s="2" t="s">
        <v>177</v>
      </c>
      <c r="E22" s="2" t="s">
        <v>180</v>
      </c>
      <c r="F22" s="2" t="s">
        <v>6</v>
      </c>
      <c r="G22" s="2" t="s">
        <v>48</v>
      </c>
      <c r="H22" s="3">
        <v>46326</v>
      </c>
    </row>
    <row r="24" spans="1:8" x14ac:dyDescent="0.3">
      <c r="A24" s="12" t="s">
        <v>491</v>
      </c>
      <c r="B24" s="11"/>
      <c r="C24" s="11"/>
      <c r="D24" s="11"/>
      <c r="E24" s="11"/>
      <c r="F24" s="11"/>
      <c r="G24" s="11"/>
      <c r="H24" s="11"/>
    </row>
    <row r="25" spans="1:8" x14ac:dyDescent="0.3">
      <c r="A25" s="1" t="s">
        <v>92</v>
      </c>
      <c r="B25" s="1" t="s">
        <v>492</v>
      </c>
      <c r="C25" s="1" t="s">
        <v>493</v>
      </c>
      <c r="D25" s="1" t="s">
        <v>494</v>
      </c>
      <c r="E25" s="1" t="s">
        <v>495</v>
      </c>
      <c r="F25" s="1" t="s">
        <v>43</v>
      </c>
      <c r="G25" s="1" t="s">
        <v>496</v>
      </c>
      <c r="H25" s="1" t="s">
        <v>497</v>
      </c>
    </row>
    <row r="26" spans="1:8" ht="41.4" x14ac:dyDescent="0.3">
      <c r="A26" s="2">
        <v>1</v>
      </c>
      <c r="B26" s="2" t="s">
        <v>498</v>
      </c>
      <c r="C26" s="2" t="s">
        <v>499</v>
      </c>
      <c r="D26" s="2" t="s">
        <v>500</v>
      </c>
      <c r="E26" s="2" t="s">
        <v>501</v>
      </c>
      <c r="F26" s="2" t="s">
        <v>72</v>
      </c>
      <c r="G26" s="3">
        <v>46265</v>
      </c>
      <c r="H26" s="2" t="s">
        <v>8</v>
      </c>
    </row>
    <row r="27" spans="1:8" ht="41.4" x14ac:dyDescent="0.3">
      <c r="A27" s="2">
        <v>2</v>
      </c>
      <c r="B27" s="2" t="s">
        <v>502</v>
      </c>
      <c r="C27" s="2" t="s">
        <v>499</v>
      </c>
      <c r="D27" s="2" t="s">
        <v>503</v>
      </c>
      <c r="E27" s="2" t="s">
        <v>504</v>
      </c>
      <c r="F27" s="2" t="s">
        <v>77</v>
      </c>
      <c r="G27" s="3">
        <v>46295</v>
      </c>
      <c r="H27" s="2" t="s">
        <v>122</v>
      </c>
    </row>
    <row r="28" spans="1:8" ht="41.4" x14ac:dyDescent="0.3">
      <c r="A28" s="2">
        <v>3</v>
      </c>
      <c r="B28" s="2" t="s">
        <v>505</v>
      </c>
      <c r="C28" s="2" t="s">
        <v>506</v>
      </c>
      <c r="D28" s="2" t="s">
        <v>507</v>
      </c>
      <c r="E28" s="2" t="s">
        <v>508</v>
      </c>
      <c r="F28" s="2" t="s">
        <v>256</v>
      </c>
      <c r="G28" s="3">
        <v>46295</v>
      </c>
      <c r="H28" s="2" t="s">
        <v>8</v>
      </c>
    </row>
  </sheetData>
  <mergeCells count="4">
    <mergeCell ref="A1:H1"/>
    <mergeCell ref="A3:H3"/>
    <mergeCell ref="A13:H13"/>
    <mergeCell ref="A24:H24"/>
  </mergeCells>
  <phoneticPr fontId="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workbookViewId="0">
      <selection sqref="A1:H1"/>
    </sheetView>
  </sheetViews>
  <sheetFormatPr defaultRowHeight="14.4" x14ac:dyDescent="0.3"/>
  <cols>
    <col min="1" max="1" width="16" customWidth="1"/>
    <col min="2" max="2" width="24" customWidth="1"/>
    <col min="3" max="3" width="34" customWidth="1"/>
    <col min="4" max="4" width="4" customWidth="1"/>
    <col min="5" max="5" width="16" customWidth="1"/>
    <col min="6" max="6" width="28" customWidth="1"/>
    <col min="7" max="7" width="34" customWidth="1"/>
    <col min="8" max="8" width="16" customWidth="1"/>
  </cols>
  <sheetData>
    <row r="1" spans="1:26" ht="24" customHeight="1" x14ac:dyDescent="0.3">
      <c r="A1" s="8" t="s">
        <v>509</v>
      </c>
      <c r="B1" s="9"/>
      <c r="C1" s="9"/>
      <c r="D1" s="9"/>
      <c r="E1" s="9"/>
      <c r="F1" s="9"/>
      <c r="G1" s="9"/>
      <c r="H1" s="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 x14ac:dyDescent="0.3">
      <c r="A3" s="12" t="s">
        <v>510</v>
      </c>
      <c r="B3" s="11"/>
      <c r="C3" s="11"/>
      <c r="E3" s="12" t="s">
        <v>511</v>
      </c>
      <c r="F3" s="11"/>
      <c r="G3" s="11"/>
    </row>
    <row r="4" spans="1:26" x14ac:dyDescent="0.3">
      <c r="A4" s="1" t="s">
        <v>512</v>
      </c>
      <c r="B4" s="1" t="s">
        <v>94</v>
      </c>
      <c r="C4" s="1" t="s">
        <v>513</v>
      </c>
      <c r="E4" s="1" t="s">
        <v>497</v>
      </c>
      <c r="F4" s="1" t="s">
        <v>514</v>
      </c>
      <c r="G4" s="1" t="s">
        <v>515</v>
      </c>
    </row>
    <row r="5" spans="1:26" x14ac:dyDescent="0.3">
      <c r="A5" s="2" t="s">
        <v>112</v>
      </c>
      <c r="B5" s="2" t="s">
        <v>109</v>
      </c>
      <c r="C5" s="2" t="s">
        <v>110</v>
      </c>
      <c r="E5" s="2" t="s">
        <v>516</v>
      </c>
      <c r="F5" s="2" t="s">
        <v>517</v>
      </c>
      <c r="G5" s="2" t="s">
        <v>518</v>
      </c>
    </row>
    <row r="6" spans="1:26" x14ac:dyDescent="0.3">
      <c r="A6" s="2" t="s">
        <v>126</v>
      </c>
      <c r="B6" s="2" t="s">
        <v>519</v>
      </c>
      <c r="C6" s="2" t="s">
        <v>520</v>
      </c>
      <c r="E6" s="2" t="s">
        <v>521</v>
      </c>
      <c r="F6" s="2" t="s">
        <v>522</v>
      </c>
      <c r="G6" s="2" t="s">
        <v>523</v>
      </c>
    </row>
    <row r="7" spans="1:26" x14ac:dyDescent="0.3">
      <c r="A7" s="2" t="s">
        <v>34</v>
      </c>
      <c r="B7" s="2" t="s">
        <v>524</v>
      </c>
      <c r="C7" s="2" t="s">
        <v>525</v>
      </c>
      <c r="E7" s="2" t="s">
        <v>526</v>
      </c>
      <c r="F7" s="2" t="s">
        <v>527</v>
      </c>
      <c r="G7" s="2" t="s">
        <v>528</v>
      </c>
    </row>
    <row r="8" spans="1:26" x14ac:dyDescent="0.3">
      <c r="A8" s="2" t="s">
        <v>166</v>
      </c>
      <c r="B8" s="2" t="s">
        <v>166</v>
      </c>
      <c r="C8" s="2" t="s">
        <v>529</v>
      </c>
      <c r="E8" s="2" t="s">
        <v>530</v>
      </c>
      <c r="F8" s="2" t="s">
        <v>531</v>
      </c>
      <c r="G8" s="2" t="s">
        <v>532</v>
      </c>
    </row>
    <row r="9" spans="1:26" x14ac:dyDescent="0.3">
      <c r="A9" s="2" t="s">
        <v>151</v>
      </c>
      <c r="B9" s="2" t="s">
        <v>533</v>
      </c>
      <c r="C9" s="2" t="s">
        <v>534</v>
      </c>
      <c r="E9" s="2" t="s">
        <v>535</v>
      </c>
      <c r="F9" s="2" t="s">
        <v>536</v>
      </c>
      <c r="G9" s="2" t="s">
        <v>537</v>
      </c>
    </row>
    <row r="10" spans="1:26" x14ac:dyDescent="0.3">
      <c r="A10" s="2" t="s">
        <v>161</v>
      </c>
      <c r="B10" s="2" t="s">
        <v>538</v>
      </c>
      <c r="C10" s="2" t="s">
        <v>539</v>
      </c>
    </row>
    <row r="11" spans="1:26" x14ac:dyDescent="0.3">
      <c r="A11" s="2" t="s">
        <v>179</v>
      </c>
      <c r="B11" s="2" t="s">
        <v>540</v>
      </c>
      <c r="C11" s="2" t="s">
        <v>541</v>
      </c>
    </row>
    <row r="12" spans="1:26" x14ac:dyDescent="0.3">
      <c r="A12" s="2" t="s">
        <v>208</v>
      </c>
      <c r="B12" s="2" t="s">
        <v>542</v>
      </c>
      <c r="C12" s="2" t="s">
        <v>543</v>
      </c>
    </row>
    <row r="13" spans="1:26" x14ac:dyDescent="0.3">
      <c r="A13" s="2" t="s">
        <v>235</v>
      </c>
      <c r="B13" s="2" t="s">
        <v>544</v>
      </c>
      <c r="C13" s="2" t="s">
        <v>545</v>
      </c>
    </row>
    <row r="14" spans="1:26" x14ac:dyDescent="0.3">
      <c r="A14" s="2" t="s">
        <v>271</v>
      </c>
      <c r="B14" s="2" t="s">
        <v>546</v>
      </c>
      <c r="C14" s="2" t="s">
        <v>547</v>
      </c>
    </row>
    <row r="15" spans="1:26" x14ac:dyDescent="0.3">
      <c r="A15" s="2" t="s">
        <v>288</v>
      </c>
      <c r="B15" s="2" t="s">
        <v>548</v>
      </c>
      <c r="C15" s="2" t="s">
        <v>549</v>
      </c>
    </row>
    <row r="16" spans="1:26" x14ac:dyDescent="0.3">
      <c r="A16" s="2" t="s">
        <v>225</v>
      </c>
      <c r="B16" s="2" t="s">
        <v>28</v>
      </c>
      <c r="C16" s="2" t="s">
        <v>550</v>
      </c>
    </row>
    <row r="17" spans="1:7" x14ac:dyDescent="0.3">
      <c r="A17" s="2" t="s">
        <v>281</v>
      </c>
      <c r="B17" s="2" t="s">
        <v>551</v>
      </c>
      <c r="C17" s="2" t="s">
        <v>552</v>
      </c>
    </row>
    <row r="19" spans="1:7" x14ac:dyDescent="0.3">
      <c r="A19" s="12" t="s">
        <v>553</v>
      </c>
      <c r="B19" s="11"/>
      <c r="C19" s="11"/>
      <c r="E19" s="12" t="s">
        <v>554</v>
      </c>
      <c r="F19" s="11"/>
      <c r="G19" s="11"/>
    </row>
    <row r="20" spans="1:7" x14ac:dyDescent="0.3">
      <c r="A20" s="1" t="s">
        <v>385</v>
      </c>
      <c r="B20" s="1" t="s">
        <v>12</v>
      </c>
      <c r="C20" s="1" t="s">
        <v>555</v>
      </c>
      <c r="E20" s="1" t="s">
        <v>41</v>
      </c>
      <c r="F20" s="1" t="s">
        <v>556</v>
      </c>
      <c r="G20" s="1" t="s">
        <v>557</v>
      </c>
    </row>
    <row r="21" spans="1:7" x14ac:dyDescent="0.3">
      <c r="A21" s="2" t="s">
        <v>558</v>
      </c>
      <c r="B21" s="2" t="s">
        <v>5</v>
      </c>
      <c r="C21" s="2" t="s">
        <v>559</v>
      </c>
      <c r="E21" s="2" t="s">
        <v>48</v>
      </c>
      <c r="F21" s="2" t="s">
        <v>560</v>
      </c>
      <c r="G21" s="2" t="s">
        <v>561</v>
      </c>
    </row>
    <row r="22" spans="1:7" x14ac:dyDescent="0.3">
      <c r="A22" s="2" t="s">
        <v>562</v>
      </c>
      <c r="B22" s="2" t="s">
        <v>6</v>
      </c>
      <c r="C22" s="2" t="s">
        <v>563</v>
      </c>
      <c r="E22" s="2" t="s">
        <v>564</v>
      </c>
      <c r="F22" s="2" t="s">
        <v>565</v>
      </c>
      <c r="G22" s="2" t="s">
        <v>566</v>
      </c>
    </row>
    <row r="23" spans="1:7" x14ac:dyDescent="0.3">
      <c r="A23" s="2" t="s">
        <v>567</v>
      </c>
      <c r="B23" s="2" t="s">
        <v>16</v>
      </c>
      <c r="C23" s="2" t="s">
        <v>568</v>
      </c>
      <c r="E23" s="2" t="s">
        <v>569</v>
      </c>
      <c r="F23" s="2" t="s">
        <v>570</v>
      </c>
      <c r="G23" s="2" t="s">
        <v>571</v>
      </c>
    </row>
    <row r="24" spans="1:7" x14ac:dyDescent="0.3">
      <c r="A24" s="2" t="s">
        <v>572</v>
      </c>
      <c r="B24" s="2" t="s">
        <v>17</v>
      </c>
      <c r="C24" s="2" t="s">
        <v>573</v>
      </c>
      <c r="E24" s="2" t="s">
        <v>216</v>
      </c>
      <c r="F24" s="2" t="s">
        <v>574</v>
      </c>
      <c r="G24" s="2" t="s">
        <v>575</v>
      </c>
    </row>
    <row r="25" spans="1:7" x14ac:dyDescent="0.3">
      <c r="E25" s="2" t="s">
        <v>576</v>
      </c>
      <c r="F25" s="2" t="s">
        <v>577</v>
      </c>
      <c r="G25" s="2" t="s">
        <v>578</v>
      </c>
    </row>
    <row r="26" spans="1:7" x14ac:dyDescent="0.3">
      <c r="E26" s="2" t="s">
        <v>579</v>
      </c>
      <c r="F26" s="2" t="s">
        <v>580</v>
      </c>
      <c r="G26" s="2" t="s">
        <v>581</v>
      </c>
    </row>
    <row r="27" spans="1:7" x14ac:dyDescent="0.3">
      <c r="A27" s="12" t="s">
        <v>582</v>
      </c>
      <c r="B27" s="11"/>
      <c r="C27" s="11"/>
    </row>
    <row r="28" spans="1:7" x14ac:dyDescent="0.3">
      <c r="A28" s="1" t="s">
        <v>512</v>
      </c>
      <c r="B28" s="1" t="s">
        <v>556</v>
      </c>
      <c r="C28" s="1" t="s">
        <v>583</v>
      </c>
    </row>
    <row r="29" spans="1:7" x14ac:dyDescent="0.3">
      <c r="A29" s="2" t="s">
        <v>584</v>
      </c>
      <c r="B29" s="2" t="s">
        <v>585</v>
      </c>
      <c r="C29" s="2" t="s">
        <v>586</v>
      </c>
      <c r="E29" s="12" t="s">
        <v>587</v>
      </c>
      <c r="F29" s="11"/>
      <c r="G29" s="11"/>
    </row>
    <row r="30" spans="1:7" x14ac:dyDescent="0.3">
      <c r="A30" s="2" t="s">
        <v>588</v>
      </c>
      <c r="B30" s="2" t="s">
        <v>589</v>
      </c>
      <c r="C30" s="2" t="s">
        <v>590</v>
      </c>
      <c r="E30" s="1" t="s">
        <v>403</v>
      </c>
      <c r="F30" s="1" t="s">
        <v>556</v>
      </c>
      <c r="G30" s="1" t="s">
        <v>591</v>
      </c>
    </row>
    <row r="31" spans="1:7" x14ac:dyDescent="0.3">
      <c r="A31" s="2" t="s">
        <v>592</v>
      </c>
      <c r="B31" s="2" t="s">
        <v>593</v>
      </c>
      <c r="C31" s="2" t="s">
        <v>594</v>
      </c>
      <c r="E31" s="2" t="s">
        <v>148</v>
      </c>
      <c r="F31" s="2" t="s">
        <v>595</v>
      </c>
      <c r="G31" s="2" t="s">
        <v>596</v>
      </c>
    </row>
    <row r="32" spans="1:7" x14ac:dyDescent="0.3">
      <c r="A32" s="2" t="s">
        <v>117</v>
      </c>
      <c r="B32" s="2" t="s">
        <v>597</v>
      </c>
      <c r="C32" s="2" t="s">
        <v>598</v>
      </c>
      <c r="E32" s="2" t="s">
        <v>122</v>
      </c>
      <c r="F32" s="2" t="s">
        <v>599</v>
      </c>
      <c r="G32" s="2" t="s">
        <v>600</v>
      </c>
    </row>
    <row r="33" spans="1:7" x14ac:dyDescent="0.3">
      <c r="A33" s="2" t="s">
        <v>601</v>
      </c>
      <c r="B33" s="2" t="s">
        <v>602</v>
      </c>
      <c r="C33" s="2" t="s">
        <v>603</v>
      </c>
      <c r="E33" s="2" t="s">
        <v>8</v>
      </c>
      <c r="F33" s="2" t="s">
        <v>604</v>
      </c>
      <c r="G33" s="2" t="s">
        <v>605</v>
      </c>
    </row>
    <row r="34" spans="1:7" x14ac:dyDescent="0.3">
      <c r="E34" s="2" t="s">
        <v>606</v>
      </c>
      <c r="F34" s="2" t="s">
        <v>607</v>
      </c>
      <c r="G34" s="2" t="s">
        <v>608</v>
      </c>
    </row>
    <row r="35" spans="1:7" x14ac:dyDescent="0.3">
      <c r="E35" s="2" t="s">
        <v>609</v>
      </c>
      <c r="F35" s="2" t="s">
        <v>610</v>
      </c>
      <c r="G35" s="2" t="s">
        <v>611</v>
      </c>
    </row>
    <row r="36" spans="1:7" x14ac:dyDescent="0.3">
      <c r="E36" s="2" t="s">
        <v>612</v>
      </c>
      <c r="F36" s="2" t="s">
        <v>613</v>
      </c>
      <c r="G36" s="2" t="s">
        <v>614</v>
      </c>
    </row>
    <row r="37" spans="1:7" x14ac:dyDescent="0.3">
      <c r="E37" s="2" t="s">
        <v>615</v>
      </c>
      <c r="F37" s="2" t="s">
        <v>616</v>
      </c>
      <c r="G37" s="2" t="s">
        <v>617</v>
      </c>
    </row>
  </sheetData>
  <mergeCells count="7">
    <mergeCell ref="A27:C27"/>
    <mergeCell ref="E29:G29"/>
    <mergeCell ref="A1:H1"/>
    <mergeCell ref="A3:C3"/>
    <mergeCell ref="E3:G3"/>
    <mergeCell ref="A19:C19"/>
    <mergeCell ref="E19:G19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workbookViewId="0">
      <selection activeCell="D21" sqref="D21"/>
    </sheetView>
  </sheetViews>
  <sheetFormatPr defaultRowHeight="14.4" x14ac:dyDescent="0.3"/>
  <cols>
    <col min="1" max="1" width="14" customWidth="1"/>
    <col min="2" max="2" width="22" customWidth="1"/>
    <col min="3" max="3" width="42" customWidth="1"/>
    <col min="4" max="4" width="28" customWidth="1"/>
    <col min="5" max="5" width="34" customWidth="1"/>
    <col min="6" max="6" width="24" customWidth="1"/>
  </cols>
  <sheetData>
    <row r="1" spans="1:26" ht="24" customHeight="1" x14ac:dyDescent="0.3">
      <c r="A1" s="8" t="s">
        <v>618</v>
      </c>
      <c r="B1" s="9"/>
      <c r="C1" s="9"/>
      <c r="D1" s="9"/>
      <c r="E1" s="9"/>
      <c r="F1" s="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 x14ac:dyDescent="0.3">
      <c r="A3" s="1" t="s">
        <v>37</v>
      </c>
      <c r="B3" s="1" t="s">
        <v>619</v>
      </c>
      <c r="C3" s="1" t="s">
        <v>620</v>
      </c>
      <c r="D3" s="1" t="s">
        <v>621</v>
      </c>
      <c r="E3" s="1" t="s">
        <v>622</v>
      </c>
      <c r="F3" s="1" t="s">
        <v>623</v>
      </c>
    </row>
    <row r="4" spans="1:26" x14ac:dyDescent="0.3">
      <c r="A4" s="2" t="s">
        <v>151</v>
      </c>
      <c r="B4" s="2" t="s">
        <v>624</v>
      </c>
      <c r="C4" s="2" t="s">
        <v>625</v>
      </c>
      <c r="D4" s="2" t="s">
        <v>626</v>
      </c>
      <c r="E4" s="2" t="s">
        <v>627</v>
      </c>
      <c r="F4" s="2" t="s">
        <v>628</v>
      </c>
    </row>
    <row r="5" spans="1:26" x14ac:dyDescent="0.3">
      <c r="A5" s="2" t="s">
        <v>161</v>
      </c>
      <c r="B5" s="2" t="s">
        <v>629</v>
      </c>
      <c r="C5" s="2" t="s">
        <v>630</v>
      </c>
      <c r="D5" s="2" t="s">
        <v>631</v>
      </c>
      <c r="E5" s="2" t="s">
        <v>632</v>
      </c>
      <c r="F5" s="2" t="s">
        <v>633</v>
      </c>
    </row>
    <row r="6" spans="1:26" ht="27.6" x14ac:dyDescent="0.3">
      <c r="A6" s="2" t="s">
        <v>529</v>
      </c>
      <c r="B6" s="2" t="s">
        <v>166</v>
      </c>
      <c r="C6" s="2" t="s">
        <v>634</v>
      </c>
      <c r="D6" s="2" t="s">
        <v>635</v>
      </c>
      <c r="E6" s="2" t="s">
        <v>636</v>
      </c>
      <c r="F6" s="2" t="s">
        <v>637</v>
      </c>
    </row>
    <row r="7" spans="1:26" x14ac:dyDescent="0.3">
      <c r="A7" s="2" t="s">
        <v>141</v>
      </c>
      <c r="B7" s="2" t="s">
        <v>34</v>
      </c>
      <c r="C7" s="2" t="s">
        <v>638</v>
      </c>
      <c r="D7" s="2" t="s">
        <v>639</v>
      </c>
      <c r="E7" s="2" t="s">
        <v>640</v>
      </c>
      <c r="F7" s="2" t="s">
        <v>641</v>
      </c>
    </row>
    <row r="8" spans="1:26" x14ac:dyDescent="0.3">
      <c r="A8" s="2" t="s">
        <v>84</v>
      </c>
      <c r="B8" s="2" t="s">
        <v>642</v>
      </c>
      <c r="C8" s="2" t="s">
        <v>643</v>
      </c>
      <c r="D8" s="2" t="s">
        <v>644</v>
      </c>
      <c r="E8" s="2" t="s">
        <v>645</v>
      </c>
      <c r="F8" s="2" t="s">
        <v>646</v>
      </c>
    </row>
    <row r="9" spans="1:26" ht="27.6" x14ac:dyDescent="0.3">
      <c r="A9" s="2" t="s">
        <v>208</v>
      </c>
      <c r="B9" s="2" t="s">
        <v>647</v>
      </c>
      <c r="C9" s="2" t="s">
        <v>648</v>
      </c>
      <c r="D9" s="2" t="s">
        <v>649</v>
      </c>
      <c r="E9" s="2" t="s">
        <v>650</v>
      </c>
      <c r="F9" s="2" t="s">
        <v>651</v>
      </c>
    </row>
    <row r="10" spans="1:26" ht="27.6" x14ac:dyDescent="0.3">
      <c r="A10" s="2" t="s">
        <v>652</v>
      </c>
      <c r="B10" s="2" t="s">
        <v>653</v>
      </c>
      <c r="C10" s="2" t="s">
        <v>654</v>
      </c>
      <c r="D10" s="2" t="s">
        <v>655</v>
      </c>
      <c r="E10" s="2" t="s">
        <v>656</v>
      </c>
      <c r="F10" s="2" t="s">
        <v>657</v>
      </c>
    </row>
    <row r="11" spans="1:26" ht="27.6" x14ac:dyDescent="0.3">
      <c r="A11" s="2" t="s">
        <v>180</v>
      </c>
      <c r="B11" s="2" t="s">
        <v>540</v>
      </c>
      <c r="C11" s="2" t="s">
        <v>658</v>
      </c>
      <c r="D11" s="2" t="s">
        <v>659</v>
      </c>
      <c r="E11" s="2" t="s">
        <v>660</v>
      </c>
      <c r="F11" s="2" t="s">
        <v>661</v>
      </c>
    </row>
    <row r="12" spans="1:26" x14ac:dyDescent="0.3">
      <c r="A12" s="2" t="s">
        <v>199</v>
      </c>
      <c r="B12" s="2" t="s">
        <v>540</v>
      </c>
      <c r="C12" s="2" t="s">
        <v>662</v>
      </c>
      <c r="D12" s="2" t="s">
        <v>663</v>
      </c>
      <c r="E12" s="2" t="s">
        <v>664</v>
      </c>
      <c r="F12" s="2" t="s">
        <v>661</v>
      </c>
    </row>
    <row r="13" spans="1:26" x14ac:dyDescent="0.3">
      <c r="A13" s="2" t="s">
        <v>665</v>
      </c>
      <c r="B13" s="2" t="s">
        <v>31</v>
      </c>
      <c r="C13" s="2" t="s">
        <v>666</v>
      </c>
      <c r="D13" s="2" t="s">
        <v>667</v>
      </c>
      <c r="E13" s="2" t="s">
        <v>668</v>
      </c>
      <c r="F13" s="2" t="s">
        <v>669</v>
      </c>
    </row>
    <row r="14" spans="1:26" x14ac:dyDescent="0.3">
      <c r="A14" s="2" t="s">
        <v>670</v>
      </c>
      <c r="B14" s="2" t="s">
        <v>261</v>
      </c>
      <c r="C14" s="2" t="s">
        <v>671</v>
      </c>
      <c r="D14" s="2" t="s">
        <v>672</v>
      </c>
      <c r="E14" s="2" t="s">
        <v>673</v>
      </c>
      <c r="F14" s="2" t="s">
        <v>674</v>
      </c>
    </row>
    <row r="15" spans="1:26" x14ac:dyDescent="0.3">
      <c r="A15" s="2" t="s">
        <v>547</v>
      </c>
      <c r="B15" s="2" t="s">
        <v>271</v>
      </c>
      <c r="C15" s="2" t="s">
        <v>675</v>
      </c>
      <c r="D15" s="2" t="s">
        <v>676</v>
      </c>
      <c r="E15" s="2" t="s">
        <v>677</v>
      </c>
      <c r="F15" s="2" t="s">
        <v>678</v>
      </c>
    </row>
    <row r="16" spans="1:26" x14ac:dyDescent="0.3">
      <c r="A16" s="2" t="s">
        <v>243</v>
      </c>
      <c r="B16" s="2" t="s">
        <v>679</v>
      </c>
      <c r="C16" s="2" t="s">
        <v>680</v>
      </c>
      <c r="D16" s="2" t="s">
        <v>681</v>
      </c>
      <c r="E16" s="2" t="s">
        <v>682</v>
      </c>
      <c r="F16" s="2" t="s">
        <v>683</v>
      </c>
    </row>
    <row r="17" spans="1:6" x14ac:dyDescent="0.3">
      <c r="A17" s="2" t="s">
        <v>684</v>
      </c>
      <c r="B17" s="2" t="s">
        <v>685</v>
      </c>
      <c r="C17" s="2" t="s">
        <v>686</v>
      </c>
      <c r="D17" s="2" t="s">
        <v>687</v>
      </c>
      <c r="E17" s="2" t="s">
        <v>688</v>
      </c>
      <c r="F17" s="2" t="s">
        <v>689</v>
      </c>
    </row>
    <row r="18" spans="1:6" ht="27.6" x14ac:dyDescent="0.3">
      <c r="A18" s="2" t="s">
        <v>26</v>
      </c>
      <c r="B18" s="2" t="s">
        <v>690</v>
      </c>
      <c r="C18" s="2" t="s">
        <v>691</v>
      </c>
      <c r="D18" s="2" t="s">
        <v>692</v>
      </c>
      <c r="E18" s="2" t="s">
        <v>693</v>
      </c>
      <c r="F18" s="2" t="s">
        <v>694</v>
      </c>
    </row>
    <row r="19" spans="1:6" ht="27.6" x14ac:dyDescent="0.3">
      <c r="A19" s="2" t="s">
        <v>28</v>
      </c>
      <c r="B19" s="2" t="s">
        <v>695</v>
      </c>
      <c r="C19" s="2" t="s">
        <v>696</v>
      </c>
      <c r="D19" s="2" t="s">
        <v>697</v>
      </c>
      <c r="E19" s="2" t="s">
        <v>698</v>
      </c>
      <c r="F19" s="2" t="s">
        <v>699</v>
      </c>
    </row>
  </sheetData>
  <mergeCells count="1">
    <mergeCell ref="A1:F1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00_Dashboard</vt:lpstr>
      <vt:lpstr>01_EOS관리대장</vt:lpstr>
      <vt:lpstr>02_위험도평가</vt:lpstr>
      <vt:lpstr>03_조치계획</vt:lpstr>
      <vt:lpstr>04_예외승인</vt:lpstr>
      <vt:lpstr>05_월간보고</vt:lpstr>
      <vt:lpstr>06_코드기준표</vt:lpstr>
      <vt:lpstr>07_점검명령어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장우승</dc:creator>
  <cp:lastModifiedBy>장우승</cp:lastModifiedBy>
  <dcterms:created xsi:type="dcterms:W3CDTF">2026-06-10T13:01:29Z</dcterms:created>
  <dcterms:modified xsi:type="dcterms:W3CDTF">2026-08-16T04:04:23Z</dcterms:modified>
</cp:coreProperties>
</file>